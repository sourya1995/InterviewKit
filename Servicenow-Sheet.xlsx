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sheetData>
    <row r="1">
      <c r="A1" t="str">
        <v>ServiceNow</v>
      </c>
    </row>
    <row r="2">
      <c r="A2">
        <v>55</v>
      </c>
      <c r="B2" t="str">
        <v>Jump Game</v>
      </c>
      <c r="C2">
        <f>HYPERLINK("https://leetcode.com/problems/jump-game","jump-game")</f>
      </c>
      <c r="D2">
        <v>2</v>
      </c>
      <c r="E2">
        <v>39.527630305834</v>
      </c>
      <c r="F2" t="str">
        <v>Array, Dynamic Programming, Greedy</v>
      </c>
      <c r="G2" t="str">
        <v>all</v>
      </c>
    </row>
    <row r="3">
      <c r="A3">
        <v>18</v>
      </c>
      <c r="B3" t="str">
        <v>4Sum</v>
      </c>
      <c r="C3">
        <f>HYPERLINK("https://leetcode.com/problems/4sum","4sum")</f>
      </c>
      <c r="D3">
        <v>2</v>
      </c>
      <c r="E3">
        <v>38.283054940984</v>
      </c>
      <c r="F3" t="str">
        <v>Array, Two Pointers, Sorting</v>
      </c>
      <c r="G3" t="str">
        <v>all</v>
      </c>
    </row>
    <row r="4">
      <c r="A4">
        <v>239</v>
      </c>
      <c r="B4" t="str">
        <v>Sliding Window Maximum</v>
      </c>
      <c r="C4">
        <f>HYPERLINK("https://leetcode.com/problems/sliding-window-maximum","sliding-window-maximum")</f>
      </c>
      <c r="D4">
        <v>3</v>
      </c>
      <c r="E4">
        <v>47.63265959451</v>
      </c>
      <c r="F4" t="str">
        <v>Array, Queue, Sliding Window, Heap (Priority Queue), Monotonic Queue</v>
      </c>
      <c r="G4" t="str">
        <v>all</v>
      </c>
    </row>
    <row r="5">
      <c r="A5">
        <v>17</v>
      </c>
      <c r="B5" t="str">
        <v>Letter Combinations of a Phone Number</v>
      </c>
      <c r="C5">
        <f>HYPERLINK("https://leetcode.com/problems/letter-combinations-of-a-phone-number","letter-combinations-of-a-phone-number")</f>
      </c>
      <c r="D5">
        <v>2</v>
      </c>
      <c r="E5">
        <v>63.92037751384</v>
      </c>
      <c r="F5" t="str">
        <v>Hash Table, String, Backtracking</v>
      </c>
      <c r="G5" t="str">
        <v>all</v>
      </c>
    </row>
    <row r="6">
      <c r="A6">
        <v>234</v>
      </c>
      <c r="B6" t="str">
        <v>Palindrome Linked List</v>
      </c>
      <c r="C6">
        <f>HYPERLINK("https://leetcode.com/problems/palindrome-linked-list","palindrome-linked-list")</f>
      </c>
      <c r="D6">
        <v>1</v>
      </c>
      <c r="E6">
        <v>55.930164941542</v>
      </c>
      <c r="F6" t="str">
        <v>Linked List, Two Pointers, Stack, Recursion</v>
      </c>
      <c r="G6" t="str">
        <v>all</v>
      </c>
    </row>
    <row r="7">
      <c r="A7">
        <v>134</v>
      </c>
      <c r="B7" t="str">
        <v>Gas Station</v>
      </c>
      <c r="C7">
        <f>HYPERLINK("https://leetcode.com/problems/gas-station","gas-station")</f>
      </c>
      <c r="D7">
        <v>2</v>
      </c>
      <c r="E7">
        <v>46.421655002743</v>
      </c>
      <c r="F7" t="str">
        <v>Array, Greedy</v>
      </c>
      <c r="G7" t="str">
        <v>all</v>
      </c>
    </row>
    <row r="8">
      <c r="A8">
        <v>162</v>
      </c>
      <c r="B8" t="str">
        <v>Find Peak Element</v>
      </c>
      <c r="C8">
        <f>HYPERLINK("https://leetcode.com/problems/find-peak-element","find-peak-element")</f>
      </c>
      <c r="D8">
        <v>2</v>
      </c>
      <c r="E8">
        <v>46.513227950465</v>
      </c>
      <c r="F8" t="str">
        <v>Array, Binary Search</v>
      </c>
      <c r="G8" t="str">
        <v>all</v>
      </c>
    </row>
    <row r="9">
      <c r="A9">
        <v>39</v>
      </c>
      <c r="B9" t="str">
        <v>Combination Sum</v>
      </c>
      <c r="C9">
        <f>HYPERLINK("https://leetcode.com/problems/combination-sum","combination-sum")</f>
      </c>
      <c r="D9">
        <v>2</v>
      </c>
      <c r="E9">
        <v>74.739228723827</v>
      </c>
      <c r="F9" t="str">
        <v>Array, Backtracking</v>
      </c>
      <c r="G9" t="str">
        <v>all</v>
      </c>
    </row>
    <row r="10">
      <c r="A10">
        <v>560</v>
      </c>
      <c r="B10" t="str">
        <v>Subarray Sum Equals K</v>
      </c>
      <c r="C10">
        <f>HYPERLINK("https://leetcode.com/problems/subarray-sum-equals-k","subarray-sum-equals-k")</f>
      </c>
      <c r="D10">
        <v>2</v>
      </c>
      <c r="E10">
        <v>45.525856297508</v>
      </c>
      <c r="F10" t="str">
        <v>Array, Hash Table, Prefix Sum</v>
      </c>
      <c r="G10" t="str">
        <v>all</v>
      </c>
    </row>
    <row r="11">
      <c r="A11">
        <v>540</v>
      </c>
      <c r="B11" t="str">
        <v>Single Element in a Sorted Array</v>
      </c>
      <c r="C11">
        <f>HYPERLINK("https://leetcode.com/problems/single-element-in-a-sorted-array","single-element-in-a-sorted-array")</f>
      </c>
      <c r="D11">
        <v>2</v>
      </c>
      <c r="E11">
        <v>59.205694377236</v>
      </c>
      <c r="F11" t="str">
        <v>Array, Binary Search</v>
      </c>
      <c r="G11" t="str">
        <v>all</v>
      </c>
    </row>
    <row r="12">
      <c r="A12">
        <v>1611</v>
      </c>
      <c r="B12" t="str">
        <v>Minimum One Bit Operations to Make Integers Zero</v>
      </c>
      <c r="C12">
        <f>HYPERLINK("https://leetcode.com/problems/minimum-one-bit-operations-to-make-integers-zero","minimum-one-bit-operations-to-make-integers-zero")</f>
      </c>
      <c r="D12">
        <v>3</v>
      </c>
      <c r="E12">
        <v>73.251476891</v>
      </c>
      <c r="F12" t="str">
        <v>Dynamic Programming, Bit Manipulation, Memoization</v>
      </c>
      <c r="G12" t="str">
        <v>moreThanSixMonths, all</v>
      </c>
    </row>
    <row r="13">
      <c r="A13">
        <v>198</v>
      </c>
      <c r="B13" t="str">
        <v>House Robber</v>
      </c>
      <c r="C13">
        <f>HYPERLINK("https://leetcode.com/problems/house-robber","house-robber")</f>
      </c>
      <c r="D13">
        <v>2</v>
      </c>
      <c r="E13">
        <v>52.328756966937</v>
      </c>
      <c r="F13" t="str">
        <v>Array, Dynamic Programming</v>
      </c>
      <c r="G13" t="str">
        <v>moreThanSixMonths, all</v>
      </c>
    </row>
    <row r="14">
      <c r="A14">
        <v>494</v>
      </c>
      <c r="B14" t="str">
        <v>Target Sum</v>
      </c>
      <c r="C14">
        <f>HYPERLINK("https://leetcode.com/problems/target-sum","target-sum")</f>
      </c>
      <c r="D14">
        <v>2</v>
      </c>
      <c r="E14">
        <v>50.817726186197</v>
      </c>
      <c r="F14" t="str">
        <v>Array, Dynamic Programming, Backtracking</v>
      </c>
      <c r="G14" t="str">
        <v>moreThanSixMonths, all</v>
      </c>
    </row>
    <row r="15">
      <c r="A15">
        <v>116</v>
      </c>
      <c r="B15" t="str">
        <v>Populating Next Right Pointers in Each Node</v>
      </c>
      <c r="C15">
        <f>HYPERLINK("https://leetcode.com/problems/populating-next-right-pointers-in-each-node","populating-next-right-pointers-in-each-node")</f>
      </c>
      <c r="D15">
        <v>2</v>
      </c>
      <c r="E15">
        <v>65.493275673621</v>
      </c>
      <c r="F15" t="str">
        <v>Linked List, Tree, Depth-First Search, Breadth-First Search, Binary Tree</v>
      </c>
      <c r="G15" t="str">
        <v>moreThanSixMonths, all</v>
      </c>
    </row>
    <row r="16">
      <c r="A16">
        <v>189</v>
      </c>
      <c r="B16" t="str">
        <v>Rotate Array</v>
      </c>
      <c r="C16">
        <f>HYPERLINK("https://leetcode.com/problems/rotate-array","rotate-array")</f>
      </c>
      <c r="D16">
        <v>2</v>
      </c>
      <c r="E16">
        <v>43.071943753872</v>
      </c>
      <c r="F16" t="str">
        <v>Array, Math, Two Pointers</v>
      </c>
      <c r="G16" t="str">
        <v>moreThanSixMonths, all</v>
      </c>
    </row>
    <row r="17">
      <c r="A17">
        <v>994</v>
      </c>
      <c r="B17" t="str">
        <v>Rotting Oranges</v>
      </c>
      <c r="C17">
        <f>HYPERLINK("https://leetcode.com/problems/rotting-oranges","rotting-oranges")</f>
      </c>
      <c r="D17">
        <v>2</v>
      </c>
      <c r="E17">
        <v>56.68705837889</v>
      </c>
      <c r="F17" t="str">
        <v>Array, Breadth-First Search, Matrix</v>
      </c>
      <c r="G17" t="str">
        <v>moreThanSixMonths, all</v>
      </c>
    </row>
    <row r="18">
      <c r="A18">
        <v>227</v>
      </c>
      <c r="B18" t="str">
        <v>Basic Calculator II</v>
      </c>
      <c r="C18">
        <f>HYPERLINK("https://leetcode.com/problems/basic-calculator-ii","basic-calculator-ii")</f>
      </c>
      <c r="D18">
        <v>2</v>
      </c>
      <c r="E18">
        <v>45.84857391683</v>
      </c>
      <c r="F18" t="str">
        <v>Math, String, Stack</v>
      </c>
      <c r="G18" t="str">
        <v>moreThanSixMonths, all</v>
      </c>
    </row>
    <row r="19">
      <c r="A19">
        <v>88</v>
      </c>
      <c r="B19" t="str">
        <v>Merge Sorted Array</v>
      </c>
      <c r="C19">
        <f>HYPERLINK("https://leetcode.com/problems/merge-sorted-array","merge-sorted-array")</f>
      </c>
      <c r="D19">
        <v>1</v>
      </c>
      <c r="E19">
        <v>52.974856212934</v>
      </c>
      <c r="F19" t="str">
        <v>Array, Two Pointers, Sorting</v>
      </c>
      <c r="G19" t="str">
        <v>moreThanSixMonths, all</v>
      </c>
    </row>
    <row r="20">
      <c r="A20">
        <v>34</v>
      </c>
      <c r="B20" t="str">
        <v>Find First and Last Position of Element in Sorted Array</v>
      </c>
      <c r="C20">
        <f>HYPERLINK("https://leetcode.com/problems/find-first-and-last-position-of-element-in-sorted-array","find-first-and-last-position-of-element-in-sorted-array")</f>
      </c>
      <c r="D20">
        <v>2</v>
      </c>
      <c r="E20">
        <v>46.892378830929</v>
      </c>
      <c r="F20" t="str">
        <v>Array, Binary Search</v>
      </c>
      <c r="G20" t="str">
        <v>moreThanSixMonths, all</v>
      </c>
    </row>
    <row r="21">
      <c r="A21">
        <v>1268</v>
      </c>
      <c r="B21" t="str">
        <v>Search Suggestions System</v>
      </c>
      <c r="C21">
        <f>HYPERLINK("https://leetcode.com/problems/search-suggestions-system","search-suggestions-system")</f>
      </c>
      <c r="D21">
        <v>2</v>
      </c>
      <c r="E21">
        <v>65.048309378384</v>
      </c>
      <c r="F21" t="str">
        <v>Array, String, Binary Search, Trie, Sorting, Heap (Priority Queue)</v>
      </c>
      <c r="G21" t="str">
        <v>moreThanSixMonths, all</v>
      </c>
    </row>
    <row r="22">
      <c r="A22">
        <v>140</v>
      </c>
      <c r="B22" t="str">
        <v>Word Break II</v>
      </c>
      <c r="C22">
        <f>HYPERLINK("https://leetcode.com/problems/word-break-ii","word-break-ii")</f>
      </c>
      <c r="D22">
        <v>3</v>
      </c>
      <c r="E22">
        <v>53.688404565202</v>
      </c>
      <c r="F22" t="str">
        <v>Array, Hash Table, String, Dynamic Programming, Backtracking, Trie, Memoization</v>
      </c>
      <c r="G22" t="str">
        <v>moreThanSixMonths, all</v>
      </c>
    </row>
    <row r="23">
      <c r="A23">
        <v>15</v>
      </c>
      <c r="B23" t="str">
        <v>3Sum</v>
      </c>
      <c r="C23">
        <f>HYPERLINK("https://leetcode.com/problems/3sum","3sum")</f>
      </c>
      <c r="D23">
        <v>2</v>
      </c>
      <c r="E23">
        <v>37.12321791317</v>
      </c>
      <c r="F23" t="str">
        <v>Array, Two Pointers, Sorting</v>
      </c>
      <c r="G23" t="str">
        <v>moreThanSixMonths, all</v>
      </c>
    </row>
    <row r="24">
      <c r="A24">
        <v>153</v>
      </c>
      <c r="B24" t="str">
        <v>Find Minimum in Rotated Sorted Array</v>
      </c>
      <c r="C24">
        <f>HYPERLINK("https://leetcode.com/problems/find-minimum-in-rotated-sorted-array","find-minimum-in-rotated-sorted-array")</f>
      </c>
      <c r="D24">
        <v>2</v>
      </c>
      <c r="E24">
        <v>52.691300732785</v>
      </c>
      <c r="F24" t="str">
        <v>Array, Binary Search</v>
      </c>
      <c r="G24" t="str">
        <v>moreThanSixMonths, all</v>
      </c>
    </row>
    <row r="25">
      <c r="A25">
        <v>208</v>
      </c>
      <c r="B25" t="str">
        <v>Implement Trie (Prefix Tree)</v>
      </c>
      <c r="C25">
        <f>HYPERLINK("https://leetcode.com/problems/implement-trie-prefix-tree","implement-trie-prefix-tree")</f>
      </c>
      <c r="D25">
        <v>2</v>
      </c>
      <c r="E25">
        <v>67.987825829339</v>
      </c>
      <c r="F25" t="str">
        <v>Hash Table, String, Design, Trie</v>
      </c>
      <c r="G25" t="str">
        <v>moreThanSixMonths, all</v>
      </c>
    </row>
    <row r="26">
      <c r="A26">
        <v>416</v>
      </c>
      <c r="B26" t="str">
        <v>Partition Equal Subset Sum</v>
      </c>
      <c r="C26">
        <f>HYPERLINK("https://leetcode.com/problems/partition-equal-subset-sum","partition-equal-subset-sum")</f>
      </c>
      <c r="D26">
        <v>2</v>
      </c>
      <c r="E26">
        <v>48.479712831835</v>
      </c>
      <c r="F26" t="str">
        <v>Array, Dynamic Programming</v>
      </c>
      <c r="G26" t="str">
        <v>moreThanSixMonths, all</v>
      </c>
    </row>
    <row r="27">
      <c r="A27">
        <v>1326</v>
      </c>
      <c r="B27" t="str">
        <v>Minimum Number of Taps to Open to Water a Garden</v>
      </c>
      <c r="C27">
        <f>HYPERLINK("https://leetcode.com/problems/minimum-number-of-taps-to-open-to-water-a-garden","minimum-number-of-taps-to-open-to-water-a-garden")</f>
      </c>
      <c r="D27">
        <v>3</v>
      </c>
      <c r="E27">
        <v>50.720356299308</v>
      </c>
      <c r="F27" t="str">
        <v>Array, Dynamic Programming, Greedy</v>
      </c>
      <c r="G27" t="str">
        <v>moreThanSixMonths, all</v>
      </c>
    </row>
    <row r="28">
      <c r="A28">
        <v>103</v>
      </c>
      <c r="B28" t="str">
        <v>Binary Tree Zigzag Level Order Traversal</v>
      </c>
      <c r="C28">
        <f>HYPERLINK("https://leetcode.com/problems/binary-tree-zigzag-level-order-traversal","binary-tree-zigzag-level-order-traversal")</f>
      </c>
      <c r="D28">
        <v>2</v>
      </c>
      <c r="E28">
        <v>61.746231902292</v>
      </c>
      <c r="F28" t="str">
        <v>Tree, Breadth-First Search, Binary Tree</v>
      </c>
      <c r="G28" t="str">
        <v>moreThanSixMonths, all</v>
      </c>
    </row>
    <row r="29">
      <c r="A29">
        <v>125</v>
      </c>
      <c r="B29" t="str">
        <v>Valid Palindrome</v>
      </c>
      <c r="C29">
        <f>HYPERLINK("https://leetcode.com/problems/valid-palindrome","valid-palindrome")</f>
      </c>
      <c r="D29">
        <v>1</v>
      </c>
      <c r="E29">
        <v>51.027966007948</v>
      </c>
      <c r="F29" t="str">
        <v>Two Pointers, String</v>
      </c>
      <c r="G29" t="str">
        <v>moreThanSixMonths, all</v>
      </c>
    </row>
    <row r="30">
      <c r="A30">
        <v>46</v>
      </c>
      <c r="B30" t="str">
        <v>Permutations</v>
      </c>
      <c r="C30">
        <f>HYPERLINK("https://leetcode.com/problems/permutations","permutations")</f>
      </c>
      <c r="D30">
        <v>2</v>
      </c>
      <c r="E30">
        <v>80.701253490844</v>
      </c>
      <c r="F30" t="str">
        <v>Array, Backtracking</v>
      </c>
      <c r="G30" t="str">
        <v>moreThanSixMonths, all</v>
      </c>
    </row>
    <row r="31">
      <c r="A31">
        <v>322</v>
      </c>
      <c r="B31" t="str">
        <v>Coin Change</v>
      </c>
      <c r="C31">
        <f>HYPERLINK("https://leetcode.com/problems/coin-change","coin-change")</f>
      </c>
      <c r="D31">
        <v>2</v>
      </c>
      <c r="E31">
        <v>46.554601334862</v>
      </c>
      <c r="F31" t="str">
        <v>Array, Dynamic Programming, Breadth-First Search</v>
      </c>
      <c r="G31" t="str">
        <v>moreThanSixMonths, all</v>
      </c>
    </row>
    <row r="32">
      <c r="A32">
        <v>2385</v>
      </c>
      <c r="B32" t="str">
        <v>Amount of Time for Binary Tree to Be Infected</v>
      </c>
      <c r="C32">
        <f>HYPERLINK("https://leetcode.com/problems/amount-of-time-for-binary-tree-to-be-infected","amount-of-time-for-binary-tree-to-be-infected")</f>
      </c>
      <c r="D32">
        <v>2</v>
      </c>
      <c r="E32">
        <v>63.82419093307</v>
      </c>
      <c r="F32" t="str">
        <v>Hash Table, Tree, Depth-First Search, Breadth-First Search, Binary Tree</v>
      </c>
      <c r="G32" t="str">
        <v>moreThanSixMonths, all</v>
      </c>
    </row>
    <row r="33">
      <c r="A33">
        <v>2380</v>
      </c>
      <c r="B33" t="str">
        <v>Time Needed to Rearrange a Binary String</v>
      </c>
      <c r="C33">
        <f>HYPERLINK("https://leetcode.com/problems/time-needed-to-rearrange-a-binary-string","time-needed-to-rearrange-a-binary-string")</f>
      </c>
      <c r="D33">
        <v>2</v>
      </c>
      <c r="E33">
        <v>51.592050432739</v>
      </c>
      <c r="F33" t="str">
        <v>String, Dynamic Programming, Simulation</v>
      </c>
      <c r="G33" t="str">
        <v>moreThanSixMonths, all</v>
      </c>
    </row>
    <row r="34">
      <c r="A34">
        <v>50</v>
      </c>
      <c r="B34" t="str">
        <v>Pow(x, n)</v>
      </c>
      <c r="C34">
        <f>HYPERLINK("https://leetcode.com/problems/powx-n","powx-n")</f>
      </c>
      <c r="D34">
        <v>2</v>
      </c>
      <c r="E34">
        <v>37.066147373416</v>
      </c>
      <c r="F34" t="str">
        <v>Math, Recursion</v>
      </c>
      <c r="G34" t="str">
        <v>moreThanSixMonths, all</v>
      </c>
    </row>
    <row r="35">
      <c r="A35">
        <v>206</v>
      </c>
      <c r="B35" t="str">
        <v>Reverse Linked List</v>
      </c>
      <c r="C35">
        <f>HYPERLINK("https://leetcode.com/problems/reverse-linked-list","reverse-linked-list")</f>
      </c>
      <c r="D35">
        <v>1</v>
      </c>
      <c r="E35">
        <v>79.252143305903</v>
      </c>
      <c r="F35" t="str">
        <v>Linked List, Recursion</v>
      </c>
      <c r="G35" t="str">
        <v>moreThanSixMonths, all</v>
      </c>
    </row>
    <row r="36">
      <c r="A36">
        <v>4</v>
      </c>
      <c r="B36" t="str">
        <v>Median of Two Sorted Arrays</v>
      </c>
      <c r="C36">
        <f>HYPERLINK("https://leetcode.com/problems/median-of-two-sorted-arrays","median-of-two-sorted-arrays")</f>
      </c>
      <c r="D36">
        <v>3</v>
      </c>
      <c r="E36">
        <v>43.890991023247</v>
      </c>
      <c r="F36" t="str">
        <v>Array, Binary Search, Divide and Conquer</v>
      </c>
      <c r="G36" t="str">
        <v>moreThanSixMonths, all</v>
      </c>
    </row>
    <row r="37">
      <c r="A37">
        <v>2063</v>
      </c>
      <c r="B37" t="str">
        <v>Vowels of All Substrings</v>
      </c>
      <c r="C37">
        <f>HYPERLINK("https://leetcode.com/problems/vowels-of-all-substrings","vowels-of-all-substrings")</f>
      </c>
      <c r="D37">
        <v>2</v>
      </c>
      <c r="E37">
        <v>54.707619782043</v>
      </c>
      <c r="F37" t="str">
        <v>Math, String, Dynamic Programming, Combinatorics</v>
      </c>
      <c r="G37" t="str">
        <v>moreThanSixMonths, all</v>
      </c>
    </row>
    <row r="38">
      <c r="A38">
        <v>73</v>
      </c>
      <c r="B38" t="str">
        <v>Set Matrix Zeroes</v>
      </c>
      <c r="C38">
        <f>HYPERLINK("https://leetcode.com/problems/set-matrix-zeroes","set-matrix-zeroes")</f>
      </c>
      <c r="D38">
        <v>2</v>
      </c>
      <c r="E38">
        <v>60.7758420816</v>
      </c>
      <c r="F38" t="str">
        <v>Array, Hash Table, Matrix</v>
      </c>
      <c r="G38" t="str">
        <v>moreThanSixMonths, all</v>
      </c>
    </row>
    <row r="39">
      <c r="A39">
        <v>253</v>
      </c>
      <c r="B39" t="str">
        <v>Meeting Rooms II</v>
      </c>
      <c r="C39">
        <f>HYPERLINK("https://code.nextleet.com/problem/binary-tree-upside-down","meeting-rooms-ii")</f>
      </c>
      <c r="D39">
        <v>2</v>
      </c>
      <c r="E39">
        <v>52.151461891088</v>
      </c>
      <c r="F39" t="str">
        <v>Array, Two Pointers, Greedy, Sorting, Heap (Priority Queue), Prefix Sum</v>
      </c>
      <c r="G39" t="str">
        <v>moreThanSixMonths, all</v>
      </c>
    </row>
    <row r="40">
      <c r="A40">
        <v>53</v>
      </c>
      <c r="B40" t="str">
        <v>Maximum Subarray</v>
      </c>
      <c r="C40">
        <f>HYPERLINK("https://leetcode.com/problems/maximum-subarray","maximum-subarray")</f>
      </c>
      <c r="D40">
        <v>2</v>
      </c>
      <c r="E40">
        <v>52.128084413744</v>
      </c>
      <c r="F40" t="str">
        <v>Array, Divide and Conquer, Dynamic Programming</v>
      </c>
      <c r="G40" t="str">
        <v>moreThanSixMonths, all</v>
      </c>
    </row>
    <row r="41">
      <c r="A41">
        <v>152</v>
      </c>
      <c r="B41" t="str">
        <v>Maximum Product Subarray</v>
      </c>
      <c r="C41">
        <f>HYPERLINK("https://leetcode.com/problems/maximum-product-subarray","maximum-product-subarray")</f>
      </c>
      <c r="D41">
        <v>2</v>
      </c>
      <c r="E41">
        <v>34.975084444915</v>
      </c>
      <c r="F41" t="str">
        <v>Array, Dynamic Programming</v>
      </c>
      <c r="G41" t="str">
        <v>moreThanSixMonths, all</v>
      </c>
    </row>
    <row r="42">
      <c r="A42">
        <v>735</v>
      </c>
      <c r="B42" t="str">
        <v>Asteroid Collision</v>
      </c>
      <c r="C42">
        <f>HYPERLINK("https://leetcode.com/problems/asteroid-collision","asteroid-collision")</f>
      </c>
      <c r="D42">
        <v>2</v>
      </c>
      <c r="E42">
        <v>45.556673954892</v>
      </c>
      <c r="F42" t="str">
        <v>Array, Stack, Simulation</v>
      </c>
      <c r="G42" t="str">
        <v>moreThanSixMonths, all</v>
      </c>
    </row>
    <row r="43">
      <c r="A43">
        <v>417</v>
      </c>
      <c r="B43" t="str">
        <v>Pacific Atlantic Water Flow</v>
      </c>
      <c r="C43">
        <f>HYPERLINK("https://leetcode.com/problems/pacific-atlantic-water-flow","pacific-atlantic-water-flow")</f>
      </c>
      <c r="D43">
        <v>2</v>
      </c>
      <c r="E43">
        <v>57.584817391057</v>
      </c>
      <c r="F43" t="str">
        <v>Array, Depth-First Search, Breadth-First Search, Matrix</v>
      </c>
      <c r="G43" t="str">
        <v>moreThanSixMonths, all</v>
      </c>
    </row>
    <row r="44">
      <c r="A44">
        <v>692</v>
      </c>
      <c r="B44" t="str">
        <v>Top K Frequent Words</v>
      </c>
      <c r="C44">
        <f>HYPERLINK("https://leetcode.com/problems/top-k-frequent-words","top-k-frequent-words")</f>
      </c>
      <c r="D44">
        <v>2</v>
      </c>
      <c r="E44">
        <v>59.299224064457</v>
      </c>
      <c r="F44" t="str">
        <v>Array, Hash Table, String, Trie, Sorting, Heap (Priority Queue), Bucket Sort, Counting</v>
      </c>
      <c r="G44" t="str">
        <v>moreThanSixMonths, all</v>
      </c>
    </row>
    <row r="45">
      <c r="A45">
        <v>128</v>
      </c>
      <c r="B45" t="str">
        <v>Longest Consecutive Sequence</v>
      </c>
      <c r="C45">
        <f>HYPERLINK("https://leetcode.com/problems/longest-consecutive-sequence","longest-consecutive-sequence")</f>
      </c>
      <c r="D45">
        <v>2</v>
      </c>
      <c r="E45">
        <v>47.03381963319</v>
      </c>
      <c r="F45" t="str">
        <v>Array, Hash Table, Union Find</v>
      </c>
      <c r="G45" t="str">
        <v>moreThanSixMonths, all</v>
      </c>
    </row>
    <row r="46">
      <c r="A46">
        <v>1698</v>
      </c>
      <c r="B46" t="str">
        <v>Number of Distinct Substrings in a String</v>
      </c>
      <c r="C46">
        <f>HYPERLINK("https://code.nextleet.com/problem/binary-tree-upside-down","number-of-distinct-substrings-in-a-string")</f>
      </c>
      <c r="D46">
        <v>2</v>
      </c>
      <c r="E46">
        <v>64.482370776077</v>
      </c>
      <c r="F46" t="str">
        <v>String, Trie, Rolling Hash, Suffix Array, Hash Function</v>
      </c>
      <c r="G46" t="str">
        <v>moreThanSixMonths, all</v>
      </c>
    </row>
    <row r="47">
      <c r="A47">
        <v>5</v>
      </c>
      <c r="B47" t="str">
        <v>Longest Palindromic Substring</v>
      </c>
      <c r="C47">
        <f>HYPERLINK("https://leetcode.com/problems/longest-palindromic-substring","longest-palindromic-substring")</f>
      </c>
      <c r="D47">
        <v>2</v>
      </c>
      <c r="E47">
        <v>35.894053886834</v>
      </c>
      <c r="F47" t="str">
        <v>Two Pointers, String, Dynamic Programming</v>
      </c>
      <c r="G47" t="str">
        <v>moreThanSixMonths, all</v>
      </c>
    </row>
    <row r="48">
      <c r="A48">
        <v>1944</v>
      </c>
      <c r="B48" t="str">
        <v>Number of Visible People in a Queue</v>
      </c>
      <c r="C48">
        <f>HYPERLINK("https://leetcode.com/problems/number-of-visible-people-in-a-queue","number-of-visible-people-in-a-queue")</f>
      </c>
      <c r="D48">
        <v>3</v>
      </c>
      <c r="E48">
        <v>71.345742298313</v>
      </c>
      <c r="F48" t="str">
        <v>Array, Stack, Monotonic Stack</v>
      </c>
      <c r="G48" t="str">
        <v>moreThanSixMonths, all</v>
      </c>
    </row>
    <row r="49">
      <c r="A49">
        <v>166</v>
      </c>
      <c r="B49" t="str">
        <v>Fraction to Recurring Decimal</v>
      </c>
      <c r="C49">
        <f>HYPERLINK("https://leetcode.com/problems/fraction-to-recurring-decimal","fraction-to-recurring-decimal")</f>
      </c>
      <c r="D49">
        <v>2</v>
      </c>
      <c r="E49">
        <v>26.24670900587</v>
      </c>
      <c r="F49" t="str">
        <v>Hash Table, Math, String</v>
      </c>
      <c r="G49" t="str">
        <v>moreThanSixMonths, all</v>
      </c>
    </row>
    <row r="50">
      <c r="A50">
        <v>468</v>
      </c>
      <c r="B50" t="str">
        <v>Validate IP Address</v>
      </c>
      <c r="C50">
        <f>HYPERLINK("https://leetcode.com/problems/validate-ip-address","validate-ip-address")</f>
      </c>
      <c r="D50">
        <v>2</v>
      </c>
      <c r="E50">
        <v>27.824060188522</v>
      </c>
      <c r="F50" t="str">
        <v>String</v>
      </c>
      <c r="G50" t="str">
        <v>moreThanSixMonths, all</v>
      </c>
    </row>
    <row r="51">
      <c r="A51">
        <v>129</v>
      </c>
      <c r="B51" t="str">
        <v>Sum Root to Leaf Numbers</v>
      </c>
      <c r="C51">
        <f>HYPERLINK("https://leetcode.com/problems/sum-root-to-leaf-numbers","sum-root-to-leaf-numbers")</f>
      </c>
      <c r="D51">
        <v>2</v>
      </c>
      <c r="E51">
        <v>68.570859422595</v>
      </c>
      <c r="F51" t="str">
        <v>Tree, Depth-First Search, Binary Tree</v>
      </c>
      <c r="G51" t="str">
        <v>moreThanSixMonths, all</v>
      </c>
    </row>
    <row r="52">
      <c r="A52">
        <v>387</v>
      </c>
      <c r="B52" t="str">
        <v>First Unique Character in a String</v>
      </c>
      <c r="C52">
        <f>HYPERLINK("https://leetcode.com/problems/first-unique-character-in-a-string","first-unique-character-in-a-string")</f>
      </c>
      <c r="D52">
        <v>1</v>
      </c>
      <c r="E52">
        <v>63.731046655281</v>
      </c>
      <c r="F52" t="str">
        <v>Hash Table, String, Queue, Counting</v>
      </c>
      <c r="G52" t="str">
        <v>moreThanSixMonths, all</v>
      </c>
    </row>
    <row r="53">
      <c r="A53">
        <v>186</v>
      </c>
      <c r="B53" t="str">
        <v>Reverse Words in a String II</v>
      </c>
      <c r="C53">
        <f>HYPERLINK("https://code.nextleet.com/problem/binary-tree-upside-down","reverse-words-in-a-string-ii")</f>
      </c>
      <c r="D53">
        <v>2</v>
      </c>
      <c r="E53">
        <v>56.084735962996</v>
      </c>
      <c r="F53" t="str">
        <v>Two Pointers, String</v>
      </c>
      <c r="G53" t="str">
        <v>moreThanSixMonths, all</v>
      </c>
    </row>
    <row r="54">
      <c r="A54">
        <v>678</v>
      </c>
      <c r="B54" t="str">
        <v>Valid Parenthesis String</v>
      </c>
      <c r="C54">
        <f>HYPERLINK("https://leetcode.com/problems/valid-parenthesis-string","valid-parenthesis-string")</f>
      </c>
      <c r="D54">
        <v>2</v>
      </c>
      <c r="E54">
        <v>38.96236649871</v>
      </c>
      <c r="F54" t="str">
        <v>String, Dynamic Programming, Stack, Greedy</v>
      </c>
      <c r="G54" t="str">
        <v>moreThanSixMonths, all</v>
      </c>
    </row>
    <row r="55">
      <c r="A55">
        <v>179</v>
      </c>
      <c r="B55" t="str">
        <v>Largest Number</v>
      </c>
      <c r="C55">
        <f>HYPERLINK("https://leetcode.com/problems/largest-number","largest-number")</f>
      </c>
      <c r="D55">
        <v>2</v>
      </c>
      <c r="E55">
        <v>41.31733865223</v>
      </c>
      <c r="F55" t="str">
        <v>Array, String, Greedy, Sorting</v>
      </c>
      <c r="G55" t="str">
        <v>moreThanSixMonths, all</v>
      </c>
    </row>
    <row r="56">
      <c r="A56">
        <v>2318</v>
      </c>
      <c r="B56" t="str">
        <v>Number of Distinct Roll Sequences</v>
      </c>
      <c r="C56">
        <f>HYPERLINK("https://leetcode.com/problems/number-of-distinct-roll-sequences","number-of-distinct-roll-sequences")</f>
      </c>
      <c r="D56">
        <v>3</v>
      </c>
      <c r="E56">
        <v>57.333813402943</v>
      </c>
      <c r="F56" t="str">
        <v>Dynamic Programming, Memoization</v>
      </c>
      <c r="G56" t="str">
        <v>moreThanSixMonths, all</v>
      </c>
    </row>
    <row r="57">
      <c r="A57">
        <v>3203</v>
      </c>
      <c r="B57" t="str">
        <v>Find Minimum Diameter After Merging Two Trees</v>
      </c>
      <c r="C57">
        <f>HYPERLINK("https://leetcode.com/problems/find-minimum-diameter-after-merging-two-trees","find-minimum-diameter-after-merging-two-trees")</f>
      </c>
      <c r="D57">
        <v>3</v>
      </c>
      <c r="E57">
        <v>57.364063310055</v>
      </c>
      <c r="F57" t="str">
        <v>Tree, Depth-First Search, Breadth-First Search, Graph</v>
      </c>
      <c r="G57" t="str">
        <v>moreThanSixMonths, all</v>
      </c>
    </row>
    <row r="58">
      <c r="A58">
        <v>3106</v>
      </c>
      <c r="B58" t="str">
        <v>Lexicographically Smallest String After Operations With Constraint</v>
      </c>
      <c r="C58">
        <f>HYPERLINK("https://leetcode.com/problems/lexicographically-smallest-string-after-operations-with-constraint","lexicographically-smallest-string-after-operations-with-constraint")</f>
      </c>
      <c r="D58">
        <v>2</v>
      </c>
      <c r="E58">
        <v>62.305057243307</v>
      </c>
      <c r="F58" t="str">
        <v>String, Greedy</v>
      </c>
      <c r="G58" t="str">
        <v>moreThanSixMonths, all</v>
      </c>
    </row>
    <row r="59">
      <c r="A59">
        <v>1</v>
      </c>
      <c r="B59" t="str">
        <v>Two Sum</v>
      </c>
      <c r="C59">
        <f>HYPERLINK("https://leetcode.com/problems/two-sum","two-sum")</f>
      </c>
      <c r="D59">
        <v>1</v>
      </c>
      <c r="E59">
        <v>55.817649773077</v>
      </c>
      <c r="F59" t="str">
        <v>Array, Hash Table</v>
      </c>
      <c r="G59" t="str">
        <v>moreThanSixMonths, all</v>
      </c>
    </row>
    <row r="60">
      <c r="A60">
        <v>221</v>
      </c>
      <c r="B60" t="str">
        <v>Maximal Square</v>
      </c>
      <c r="C60">
        <f>HYPERLINK("https://leetcode.com/problems/maximal-square","maximal-square")</f>
      </c>
      <c r="D60">
        <v>2</v>
      </c>
      <c r="E60">
        <v>48.807921895469</v>
      </c>
      <c r="F60" t="str">
        <v>Array, Dynamic Programming, Matrix</v>
      </c>
      <c r="G60" t="str">
        <v>moreThanSixMonths, all</v>
      </c>
    </row>
    <row r="61">
      <c r="A61">
        <v>215</v>
      </c>
      <c r="B61" t="str">
        <v>Kth Largest Element in an Array</v>
      </c>
      <c r="C61">
        <f>HYPERLINK("https://leetcode.com/problems/kth-largest-element-in-an-array","kth-largest-element-in-an-array")</f>
      </c>
      <c r="D61">
        <v>2</v>
      </c>
      <c r="E61">
        <v>68.019033637454</v>
      </c>
      <c r="F61" t="str">
        <v>Array, Divide and Conquer, Sorting, Heap (Priority Queue), Quickselect</v>
      </c>
      <c r="G61" t="str">
        <v>moreThanSixMonths, all</v>
      </c>
    </row>
    <row r="62">
      <c r="A62">
        <v>98</v>
      </c>
      <c r="B62" t="str">
        <v>Validate Binary Search Tree</v>
      </c>
      <c r="C62">
        <f>HYPERLINK("https://leetcode.com/problems/validate-binary-search-tree","validate-binary-search-tree")</f>
      </c>
      <c r="D62">
        <v>2</v>
      </c>
      <c r="E62">
        <v>34.415106458903</v>
      </c>
      <c r="F62" t="str">
        <v>Tree, Depth-First Search, Binary Search Tree, Binary Tree</v>
      </c>
      <c r="G62" t="str">
        <v>moreThanSixMonths, all</v>
      </c>
    </row>
    <row r="63">
      <c r="A63">
        <v>33</v>
      </c>
      <c r="B63" t="str">
        <v>Search in Rotated Sorted Array</v>
      </c>
      <c r="C63">
        <f>HYPERLINK("https://leetcode.com/problems/search-in-rotated-sorted-array","search-in-rotated-sorted-array")</f>
      </c>
      <c r="D63">
        <v>2</v>
      </c>
      <c r="E63">
        <v>42.888360741278</v>
      </c>
      <c r="F63" t="str">
        <v>Array, Binary Search</v>
      </c>
      <c r="G63" t="str">
        <v>moreThanSixMonths, all</v>
      </c>
    </row>
    <row r="64">
      <c r="A64">
        <v>443</v>
      </c>
      <c r="B64" t="str">
        <v>String Compression</v>
      </c>
      <c r="C64">
        <f>HYPERLINK("https://leetcode.com/problems/string-compression","string-compression")</f>
      </c>
      <c r="D64">
        <v>2</v>
      </c>
      <c r="E64">
        <v>58.144707079996</v>
      </c>
      <c r="F64" t="str">
        <v>Two Pointers, String</v>
      </c>
      <c r="G64" t="str">
        <v>moreThanSixMonths, all</v>
      </c>
    </row>
    <row r="65">
      <c r="A65">
        <v>739</v>
      </c>
      <c r="B65" t="str">
        <v>Daily Temperatures</v>
      </c>
      <c r="C65">
        <f>HYPERLINK("https://leetcode.com/problems/daily-temperatures","daily-temperatures")</f>
      </c>
      <c r="D65">
        <v>2</v>
      </c>
      <c r="E65">
        <v>67.395708747344</v>
      </c>
      <c r="F65" t="str">
        <v>Array, Stack, Monotonic Stack</v>
      </c>
      <c r="G65" t="str">
        <v>moreThanSixMonths, all</v>
      </c>
    </row>
    <row r="66">
      <c r="A66">
        <v>200</v>
      </c>
      <c r="B66" t="str">
        <v>Number of Islands</v>
      </c>
      <c r="C66">
        <f>HYPERLINK("https://leetcode.com/problems/number-of-islands","number-of-islands")</f>
      </c>
      <c r="D66">
        <v>2</v>
      </c>
      <c r="E66">
        <v>62.381345557245</v>
      </c>
      <c r="F66" t="str">
        <v>Array, Depth-First Search, Breadth-First Search, Union Find, Matrix</v>
      </c>
      <c r="G66" t="str">
        <v>moreThanSixMonths, all</v>
      </c>
    </row>
    <row r="67">
      <c r="A67">
        <v>460</v>
      </c>
      <c r="B67" t="str">
        <v>LFU Cache</v>
      </c>
      <c r="C67">
        <f>HYPERLINK("https://leetcode.com/problems/lfu-cache","lfu-cache")</f>
      </c>
      <c r="D67">
        <v>3</v>
      </c>
      <c r="E67">
        <v>46.686554091245</v>
      </c>
      <c r="F67" t="str">
        <v>Hash Table, Linked List, Design, Doubly-Linked List</v>
      </c>
      <c r="G67" t="str">
        <v>moreThanSixMonths, all</v>
      </c>
    </row>
    <row r="68">
      <c r="A68">
        <v>283</v>
      </c>
      <c r="B68" t="str">
        <v>Move Zeroes</v>
      </c>
      <c r="C68">
        <f>HYPERLINK("https://leetcode.com/problems/move-zeroes","move-zeroes")</f>
      </c>
      <c r="D68">
        <v>1</v>
      </c>
      <c r="E68">
        <v>62.827879547633</v>
      </c>
      <c r="F68" t="str">
        <v>Array, Two Pointers</v>
      </c>
      <c r="G68" t="str">
        <v>moreThanSixMonths, all</v>
      </c>
    </row>
    <row r="69">
      <c r="A69">
        <v>121</v>
      </c>
      <c r="B69" t="str">
        <v>Best Time to Buy and Sell Stock</v>
      </c>
      <c r="C69">
        <f>HYPERLINK("https://leetcode.com/problems/best-time-to-buy-and-sell-stock","best-time-to-buy-and-sell-stock")</f>
      </c>
      <c r="D69">
        <v>1</v>
      </c>
      <c r="E69">
        <v>55.298341172506</v>
      </c>
      <c r="F69" t="str">
        <v>Array, Dynamic Programming</v>
      </c>
      <c r="G69" t="str">
        <v>moreThanSixMonths, all</v>
      </c>
    </row>
    <row r="70">
      <c r="A70">
        <v>706</v>
      </c>
      <c r="B70" t="str">
        <v>Design HashMap</v>
      </c>
      <c r="C70">
        <f>HYPERLINK("https://leetcode.com/problems/design-hashmap","design-hashmap")</f>
      </c>
      <c r="D70">
        <v>1</v>
      </c>
      <c r="E70">
        <v>65.905585593975</v>
      </c>
      <c r="F70" t="str">
        <v>Array, Hash Table, Linked List, Design, Hash Function</v>
      </c>
      <c r="G70" t="str">
        <v>moreThanSixMonths, all</v>
      </c>
    </row>
    <row r="71">
      <c r="A71">
        <v>6</v>
      </c>
      <c r="B71" t="str">
        <v>Zigzag Conversion</v>
      </c>
      <c r="C71">
        <f>HYPERLINK("https://leetcode.com/problems/zigzag-conversion","zigzag-conversion")</f>
      </c>
      <c r="D71">
        <v>2</v>
      </c>
      <c r="E71">
        <v>51.671786758943</v>
      </c>
      <c r="F71" t="str">
        <v>String</v>
      </c>
      <c r="G71" t="str">
        <v>moreThanSixMonths, all</v>
      </c>
    </row>
    <row r="72">
      <c r="A72">
        <v>3</v>
      </c>
      <c r="B72" t="str">
        <v>Longest Substring Without Repeating Characters</v>
      </c>
      <c r="C72">
        <f>HYPERLINK("https://leetcode.com/problems/longest-substring-without-repeating-characters","longest-substring-without-repeating-characters")</f>
      </c>
      <c r="D72">
        <v>2</v>
      </c>
      <c r="E72">
        <v>36.988841636172</v>
      </c>
      <c r="F72" t="str">
        <v>Hash Table, String, Sliding Window</v>
      </c>
      <c r="G72" t="str">
        <v>moreThanSixMonths, all</v>
      </c>
    </row>
    <row r="73">
      <c r="A73">
        <v>713</v>
      </c>
      <c r="B73" t="str">
        <v>Subarray Product Less Than K</v>
      </c>
      <c r="C73">
        <f>HYPERLINK("https://leetcode.com/problems/subarray-product-less-than-k","subarray-product-less-than-k")</f>
      </c>
      <c r="D73">
        <v>2</v>
      </c>
      <c r="E73">
        <v>52.887454349326</v>
      </c>
      <c r="F73" t="str">
        <v>Array, Binary Search, Sliding Window, Prefix Sum</v>
      </c>
      <c r="G73" t="str">
        <v>moreThanSixMonths, all</v>
      </c>
    </row>
    <row r="74">
      <c r="A74">
        <v>20</v>
      </c>
      <c r="B74" t="str">
        <v>Valid Parentheses</v>
      </c>
      <c r="C74">
        <f>HYPERLINK("https://leetcode.com/problems/valid-parentheses","valid-parentheses")</f>
      </c>
      <c r="D74">
        <v>1</v>
      </c>
      <c r="E74">
        <v>42.366219350024</v>
      </c>
      <c r="F74" t="str">
        <v>String, Stack</v>
      </c>
      <c r="G74" t="str">
        <v>moreThanSixMonths, all</v>
      </c>
    </row>
    <row r="75">
      <c r="A75">
        <v>49</v>
      </c>
      <c r="B75" t="str">
        <v>Group Anagrams</v>
      </c>
      <c r="C75">
        <f>HYPERLINK("https://leetcode.com/problems/group-anagrams","group-anagrams")</f>
      </c>
      <c r="D75">
        <v>2</v>
      </c>
      <c r="E75">
        <v>70.971357150833</v>
      </c>
      <c r="F75" t="str">
        <v>Array, Hash Table, String, Sorting</v>
      </c>
      <c r="G75" t="str">
        <v>moreThanSixMonths, all</v>
      </c>
    </row>
    <row r="76">
      <c r="A76">
        <v>31</v>
      </c>
      <c r="B76" t="str">
        <v>Next Permutation</v>
      </c>
      <c r="C76">
        <f>HYPERLINK("https://leetcode.com/problems/next-permutation","next-permutation")</f>
      </c>
      <c r="D76">
        <v>2</v>
      </c>
      <c r="E76">
        <v>43.120068013599</v>
      </c>
      <c r="F76" t="str">
        <v>Array, Two Pointers</v>
      </c>
      <c r="G76" t="str">
        <v>sixMonths, all</v>
      </c>
    </row>
    <row r="77">
      <c r="A77">
        <v>199</v>
      </c>
      <c r="B77" t="str">
        <v>Binary Tree Right Side View</v>
      </c>
      <c r="C77">
        <f>HYPERLINK("https://leetcode.com/problems/binary-tree-right-side-view","binary-tree-right-side-view")</f>
      </c>
      <c r="D77">
        <v>2</v>
      </c>
      <c r="E77">
        <v>67.147700203235</v>
      </c>
      <c r="F77" t="str">
        <v>Tree, Depth-First Search, Breadth-First Search, Binary Tree</v>
      </c>
      <c r="G77" t="str">
        <v>sixMonths, all</v>
      </c>
    </row>
    <row r="78">
      <c r="A78">
        <v>694</v>
      </c>
      <c r="B78" t="str">
        <v>Number of Distinct Islands</v>
      </c>
      <c r="C78">
        <f>HYPERLINK("https://code.nextleet.com/problem/binary-tree-upside-down","number-of-distinct-islands")</f>
      </c>
      <c r="D78">
        <v>2</v>
      </c>
      <c r="E78">
        <v>62.278033501821</v>
      </c>
      <c r="F78" t="str">
        <v>Hash Table, Depth-First Search, Breadth-First Search, Union Find, Hash Function</v>
      </c>
      <c r="G78" t="str">
        <v>sixMonths, all</v>
      </c>
    </row>
    <row r="79">
      <c r="A79">
        <v>146</v>
      </c>
      <c r="B79" t="str">
        <v>LRU Cache</v>
      </c>
      <c r="C79">
        <f>HYPERLINK("https://leetcode.com/problems/lru-cache","lru-cache")</f>
      </c>
      <c r="D79">
        <v>2</v>
      </c>
      <c r="E79">
        <v>45.274611293973</v>
      </c>
      <c r="F79" t="str">
        <v>Hash Table, Linked List, Design, Doubly-Linked List</v>
      </c>
      <c r="G79" t="str">
        <v>sixMonths, moreThanSixMonths, all</v>
      </c>
    </row>
    <row r="80">
      <c r="A80">
        <v>22</v>
      </c>
      <c r="B80" t="str">
        <v>Generate Parentheses</v>
      </c>
      <c r="C80">
        <f>HYPERLINK("https://leetcode.com/problems/generate-parentheses","generate-parentheses")</f>
      </c>
      <c r="D80">
        <v>2</v>
      </c>
      <c r="E80">
        <v>77.185665600938</v>
      </c>
      <c r="F80" t="str">
        <v>String, Dynamic Programming, Backtracking</v>
      </c>
      <c r="G80" t="str">
        <v>sixMonths, moreThanSixMonths, all</v>
      </c>
    </row>
    <row r="81">
      <c r="A81">
        <v>2116</v>
      </c>
      <c r="B81" t="str">
        <v>Check if a Parentheses String Can Be Valid</v>
      </c>
      <c r="C81">
        <f>HYPERLINK("https://leetcode.com/problems/check-if-a-parentheses-string-can-be-valid","check-if-a-parentheses-string-can-be-valid")</f>
      </c>
      <c r="D81">
        <v>2</v>
      </c>
      <c r="E81">
        <v>44.865039219115</v>
      </c>
      <c r="F81" t="str">
        <v>String, Stack, Greedy</v>
      </c>
      <c r="G81" t="str">
        <v>threeMonths, sixMonths, all</v>
      </c>
    </row>
    <row r="82">
      <c r="A82">
        <v>41</v>
      </c>
      <c r="B82" t="str">
        <v>First Missing Positive</v>
      </c>
      <c r="C82">
        <f>HYPERLINK("https://leetcode.com/problems/first-missing-positive","first-missing-positive")</f>
      </c>
      <c r="D82">
        <v>3</v>
      </c>
      <c r="E82">
        <v>41.120000177111</v>
      </c>
      <c r="F82" t="str">
        <v>Array, Hash Table</v>
      </c>
      <c r="G82" t="str">
        <v>threeMonths, sixMonths, moreThanSixMonths, all</v>
      </c>
    </row>
    <row r="83">
      <c r="A83">
        <v>11</v>
      </c>
      <c r="B83" t="str">
        <v>Container With Most Water</v>
      </c>
      <c r="C83">
        <f>HYPERLINK("https://leetcode.com/problems/container-with-most-water","container-with-most-water")</f>
      </c>
      <c r="D83">
        <v>2</v>
      </c>
      <c r="E83">
        <v>57.826105884331</v>
      </c>
      <c r="F83" t="str">
        <v>Array, Two Pointers, Greedy</v>
      </c>
      <c r="G83" t="str">
        <v>threeMonths, sixMonths, moreThanSixMonths, all</v>
      </c>
    </row>
    <row r="84">
      <c r="A84">
        <v>56</v>
      </c>
      <c r="B84" t="str">
        <v>Merge Intervals</v>
      </c>
      <c r="C84">
        <f>HYPERLINK("https://leetcode.com/problems/merge-intervals","merge-intervals")</f>
      </c>
      <c r="D84">
        <v>2</v>
      </c>
      <c r="E84">
        <v>49.444120328417</v>
      </c>
      <c r="F84" t="str">
        <v>Array, Sorting</v>
      </c>
      <c r="G84" t="str">
        <v>threeMonths, sixMonths, moreThanSixMonths, all</v>
      </c>
    </row>
    <row r="85">
      <c r="A85">
        <v>42</v>
      </c>
      <c r="B85" t="str">
        <v>Trapping Rain Water</v>
      </c>
      <c r="C85">
        <f>HYPERLINK("https://leetcode.com/problems/trapping-rain-water","trapping-rain-water")</f>
      </c>
      <c r="D85">
        <v>3</v>
      </c>
      <c r="E85">
        <v>65.170057118318</v>
      </c>
      <c r="F85" t="str">
        <v>Array, Two Pointers, Dynamic Programming, Stack, Monotonic Stack</v>
      </c>
      <c r="G85" t="str">
        <v>threeMonths, sixMonths, moreThanSixMonths, all</v>
      </c>
    </row>
  </sheetData>
  <mergeCells count="1">
    <mergeCell ref="A1:G1"/>
  </mergeCells>
  <ignoredErrors>
    <ignoredError numberStoredAsText="1" sqref="A1:G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
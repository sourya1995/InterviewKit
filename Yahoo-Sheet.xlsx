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Data>
    <row r="1">
      <c r="A1" t="str">
        <v>Yahoo</v>
      </c>
    </row>
    <row r="2">
      <c r="A2">
        <v>54</v>
      </c>
      <c r="B2" t="str">
        <v>Spiral Matrix</v>
      </c>
      <c r="C2">
        <f>HYPERLINK("https://leetcode.com/problems/spiral-matrix","spiral-matrix")</f>
      </c>
      <c r="D2">
        <v>2</v>
      </c>
      <c r="E2">
        <v>54.019105804588</v>
      </c>
      <c r="F2" t="str">
        <v>Array, Matrix, Simulation</v>
      </c>
      <c r="G2" t="str">
        <v>threeMonths, sixMonths, moreThanSixMonths, all</v>
      </c>
    </row>
    <row r="3">
      <c r="A3">
        <v>341</v>
      </c>
      <c r="B3" t="str">
        <v>Flatten Nested List Iterator</v>
      </c>
      <c r="C3">
        <f>HYPERLINK("https://leetcode.com/problems/flatten-nested-list-iterator","flatten-nested-list-iterator")</f>
      </c>
      <c r="D3">
        <v>2</v>
      </c>
      <c r="E3">
        <v>65.246026399019</v>
      </c>
      <c r="F3" t="str">
        <v>Stack, Tree, Depth-First Search, Design, Queue, Iterator</v>
      </c>
      <c r="G3" t="str">
        <v>threeMonths, sixMonths</v>
      </c>
    </row>
    <row r="4">
      <c r="A4">
        <v>39</v>
      </c>
      <c r="B4" t="str">
        <v>Combination Sum</v>
      </c>
      <c r="C4">
        <f>HYPERLINK("https://leetcode.com/problems/combination-sum","combination-sum")</f>
      </c>
      <c r="D4">
        <v>2</v>
      </c>
      <c r="E4">
        <v>74.739228723827</v>
      </c>
      <c r="F4" t="str">
        <v>Array, Backtracking</v>
      </c>
      <c r="G4" t="str">
        <v>sixMonths, moreThanSixMonths, all</v>
      </c>
    </row>
    <row r="5">
      <c r="A5">
        <v>1</v>
      </c>
      <c r="B5" t="str">
        <v>Two Sum</v>
      </c>
      <c r="C5">
        <f>HYPERLINK("https://leetcode.com/problems/two-sum","two-sum")</f>
      </c>
      <c r="D5">
        <v>1</v>
      </c>
      <c r="E5">
        <v>55.817649773077</v>
      </c>
      <c r="F5" t="str">
        <v>Array, Hash Table</v>
      </c>
      <c r="G5" t="str">
        <v>moreThanSixMonths, all</v>
      </c>
    </row>
    <row r="6">
      <c r="A6">
        <v>3</v>
      </c>
      <c r="B6" t="str">
        <v>Longest Substring Without Repeating Characters</v>
      </c>
      <c r="C6">
        <f>HYPERLINK("https://leetcode.com/problems/longest-substring-without-repeating-characters","longest-substring-without-repeating-characters")</f>
      </c>
      <c r="D6">
        <v>2</v>
      </c>
      <c r="E6">
        <v>36.988841636172</v>
      </c>
      <c r="F6" t="str">
        <v>Hash Table, String, Sliding Window</v>
      </c>
      <c r="G6" t="str">
        <v>moreThanSixMonths, all</v>
      </c>
    </row>
    <row r="7">
      <c r="A7">
        <v>11</v>
      </c>
      <c r="B7" t="str">
        <v>Container With Most Water</v>
      </c>
      <c r="C7">
        <f>HYPERLINK("https://leetcode.com/problems/container-with-most-water","container-with-most-water")</f>
      </c>
      <c r="D7">
        <v>2</v>
      </c>
      <c r="E7">
        <v>57.826105884331</v>
      </c>
      <c r="F7" t="str">
        <v>Array, Two Pointers, Greedy</v>
      </c>
      <c r="G7" t="str">
        <v>moreThanSixMonths, all</v>
      </c>
    </row>
    <row r="8">
      <c r="A8">
        <v>2</v>
      </c>
      <c r="B8" t="str">
        <v>Add Two Numbers</v>
      </c>
      <c r="C8">
        <f>HYPERLINK("https://leetcode.com/problems/add-two-numbers","add-two-numbers")</f>
      </c>
      <c r="D8">
        <v>2</v>
      </c>
      <c r="E8">
        <v>46.28563264346</v>
      </c>
      <c r="F8" t="str">
        <v>Linked List, Math, Recursion</v>
      </c>
      <c r="G8" t="str">
        <v>moreThanSixMonths, all</v>
      </c>
    </row>
    <row r="9">
      <c r="A9">
        <v>15</v>
      </c>
      <c r="B9" t="str">
        <v>3Sum</v>
      </c>
      <c r="C9">
        <f>HYPERLINK("https://leetcode.com/problems/3sum","3sum")</f>
      </c>
      <c r="D9">
        <v>2</v>
      </c>
      <c r="E9">
        <v>37.12321791317</v>
      </c>
      <c r="F9" t="str">
        <v>Array, Two Pointers, Sorting</v>
      </c>
      <c r="G9" t="str">
        <v>moreThanSixMonths, all</v>
      </c>
    </row>
    <row r="10">
      <c r="A10">
        <v>88</v>
      </c>
      <c r="B10" t="str">
        <v>Merge Sorted Array</v>
      </c>
      <c r="C10">
        <f>HYPERLINK("https://leetcode.com/problems/merge-sorted-array","merge-sorted-array")</f>
      </c>
      <c r="D10">
        <v>1</v>
      </c>
      <c r="E10">
        <v>52.974856212934</v>
      </c>
      <c r="F10" t="str">
        <v>Array, Two Pointers, Sorting</v>
      </c>
      <c r="G10" t="str">
        <v>moreThanSixMonths, all</v>
      </c>
    </row>
    <row r="11">
      <c r="A11">
        <v>26</v>
      </c>
      <c r="B11" t="str">
        <v>Remove Duplicates from Sorted Array</v>
      </c>
      <c r="C11">
        <f>HYPERLINK("https://leetcode.com/problems/remove-duplicates-from-sorted-array","remove-duplicates-from-sorted-array")</f>
      </c>
      <c r="D11">
        <v>1</v>
      </c>
      <c r="E11">
        <v>60.423012440414</v>
      </c>
      <c r="F11" t="str">
        <v>Array, Two Pointers</v>
      </c>
      <c r="G11" t="str">
        <v>moreThanSixMonths, all</v>
      </c>
    </row>
    <row r="12">
      <c r="A12">
        <v>5</v>
      </c>
      <c r="B12" t="str">
        <v>Longest Palindromic Substring</v>
      </c>
      <c r="C12">
        <f>HYPERLINK("https://leetcode.com/problems/longest-palindromic-substring","longest-palindromic-substring")</f>
      </c>
      <c r="D12">
        <v>2</v>
      </c>
      <c r="E12">
        <v>35.894053886834</v>
      </c>
      <c r="F12" t="str">
        <v>Two Pointers, String, Dynamic Programming</v>
      </c>
      <c r="G12" t="str">
        <v>moreThanSixMonths, all</v>
      </c>
    </row>
    <row r="13">
      <c r="A13">
        <v>13</v>
      </c>
      <c r="B13" t="str">
        <v>Roman to Integer</v>
      </c>
      <c r="C13">
        <f>HYPERLINK("https://leetcode.com/problems/roman-to-integer","roman-to-integer")</f>
      </c>
      <c r="D13">
        <v>1</v>
      </c>
      <c r="E13">
        <v>64.914882008707</v>
      </c>
      <c r="F13" t="str">
        <v>Hash Table, Math, String</v>
      </c>
      <c r="G13" t="str">
        <v>moreThanSixMonths, all</v>
      </c>
    </row>
    <row r="14">
      <c r="A14">
        <v>121</v>
      </c>
      <c r="B14" t="str">
        <v>Best Time to Buy and Sell Stock</v>
      </c>
      <c r="C14">
        <f>HYPERLINK("https://leetcode.com/problems/best-time-to-buy-and-sell-stock","best-time-to-buy-and-sell-stock")</f>
      </c>
      <c r="D14">
        <v>1</v>
      </c>
      <c r="E14">
        <v>55.298341172506</v>
      </c>
      <c r="F14" t="str">
        <v>Array, Dynamic Programming</v>
      </c>
      <c r="G14" t="str">
        <v>moreThanSixMonths, all</v>
      </c>
    </row>
    <row r="15">
      <c r="A15">
        <v>70</v>
      </c>
      <c r="B15" t="str">
        <v>Climbing Stairs</v>
      </c>
      <c r="C15">
        <f>HYPERLINK("https://leetcode.com/problems/climbing-stairs","climbing-stairs")</f>
      </c>
      <c r="D15">
        <v>1</v>
      </c>
      <c r="E15">
        <v>53.558541435702</v>
      </c>
      <c r="F15" t="str">
        <v>Math, Dynamic Programming, Memoization</v>
      </c>
      <c r="G15" t="str">
        <v>moreThanSixMonths, all</v>
      </c>
    </row>
    <row r="16">
      <c r="A16">
        <v>48</v>
      </c>
      <c r="B16" t="str">
        <v>Rotate Image</v>
      </c>
      <c r="C16">
        <f>HYPERLINK("https://leetcode.com/problems/rotate-image","rotate-image")</f>
      </c>
      <c r="D16">
        <v>2</v>
      </c>
      <c r="E16">
        <v>77.956598570906</v>
      </c>
      <c r="F16" t="str">
        <v>Array, Math, Matrix</v>
      </c>
      <c r="G16" t="str">
        <v>moreThanSixMonths, all</v>
      </c>
    </row>
    <row r="17">
      <c r="A17">
        <v>21</v>
      </c>
      <c r="B17" t="str">
        <v>Merge Two Sorted Lists</v>
      </c>
      <c r="C17">
        <f>HYPERLINK("https://leetcode.com/problems/merge-two-sorted-lists","merge-two-sorted-lists")</f>
      </c>
      <c r="D17">
        <v>1</v>
      </c>
      <c r="E17">
        <v>66.88303061861</v>
      </c>
      <c r="F17" t="str">
        <v>Linked List, Recursion</v>
      </c>
      <c r="G17" t="str">
        <v>moreThanSixMonths, all</v>
      </c>
    </row>
    <row r="18">
      <c r="A18">
        <v>9</v>
      </c>
      <c r="B18" t="str">
        <v>Palindrome Number</v>
      </c>
      <c r="C18">
        <f>HYPERLINK("https://leetcode.com/problems/palindrome-number","palindrome-number")</f>
      </c>
      <c r="D18">
        <v>1</v>
      </c>
      <c r="E18">
        <v>59.261290330523</v>
      </c>
      <c r="F18" t="str">
        <v>Math</v>
      </c>
      <c r="G18" t="str">
        <v>moreThanSixMonths, all</v>
      </c>
    </row>
    <row r="19">
      <c r="A19">
        <v>14</v>
      </c>
      <c r="B19" t="str">
        <v>Longest Common Prefix</v>
      </c>
      <c r="C19">
        <f>HYPERLINK("https://leetcode.com/problems/longest-common-prefix","longest-common-prefix")</f>
      </c>
      <c r="D19">
        <v>1</v>
      </c>
      <c r="E19">
        <v>45.53291136824</v>
      </c>
      <c r="F19" t="str">
        <v>String, Trie</v>
      </c>
      <c r="G19" t="str">
        <v>moreThanSixMonths, all</v>
      </c>
    </row>
    <row r="20">
      <c r="A20">
        <v>22</v>
      </c>
      <c r="B20" t="str">
        <v>Generate Parentheses</v>
      </c>
      <c r="C20">
        <f>HYPERLINK("https://leetcode.com/problems/generate-parentheses","generate-parentheses")</f>
      </c>
      <c r="D20">
        <v>2</v>
      </c>
      <c r="E20">
        <v>77.185665600938</v>
      </c>
      <c r="F20" t="str">
        <v>String, Dynamic Programming, Backtracking</v>
      </c>
      <c r="G20" t="str">
        <v>moreThanSixMonths, all</v>
      </c>
    </row>
    <row r="21">
      <c r="A21">
        <v>55</v>
      </c>
      <c r="B21" t="str">
        <v>Jump Game</v>
      </c>
      <c r="C21">
        <f>HYPERLINK("https://leetcode.com/problems/jump-game","jump-game")</f>
      </c>
      <c r="D21">
        <v>2</v>
      </c>
      <c r="E21">
        <v>39.527630305834</v>
      </c>
      <c r="F21" t="str">
        <v>Array, Dynamic Programming, Greedy</v>
      </c>
      <c r="G21" t="str">
        <v>moreThanSixMonths, all</v>
      </c>
    </row>
    <row r="22">
      <c r="A22">
        <v>56</v>
      </c>
      <c r="B22" t="str">
        <v>Merge Intervals</v>
      </c>
      <c r="C22">
        <f>HYPERLINK("https://leetcode.com/problems/merge-intervals","merge-intervals")</f>
      </c>
      <c r="D22">
        <v>2</v>
      </c>
      <c r="E22">
        <v>49.444120328417</v>
      </c>
      <c r="F22" t="str">
        <v>Array, Sorting</v>
      </c>
      <c r="G22" t="str">
        <v>moreThanSixMonths, all</v>
      </c>
    </row>
    <row r="23">
      <c r="A23">
        <v>20</v>
      </c>
      <c r="B23" t="str">
        <v>Valid Parentheses</v>
      </c>
      <c r="C23">
        <f>HYPERLINK("https://leetcode.com/problems/valid-parentheses","valid-parentheses")</f>
      </c>
      <c r="D23">
        <v>1</v>
      </c>
      <c r="E23">
        <v>42.366219350024</v>
      </c>
      <c r="F23" t="str">
        <v>String, Stack</v>
      </c>
      <c r="G23" t="str">
        <v>moreThanSixMonths, all</v>
      </c>
    </row>
    <row r="24">
      <c r="A24">
        <v>104</v>
      </c>
      <c r="B24" t="str">
        <v>Maximum Depth of Binary Tree</v>
      </c>
      <c r="C24">
        <f>HYPERLINK("https://leetcode.com/problems/maximum-depth-of-binary-tree","maximum-depth-of-binary-tree")</f>
      </c>
      <c r="D24">
        <v>1</v>
      </c>
      <c r="E24">
        <v>77.17180445723</v>
      </c>
      <c r="F24" t="str">
        <v>Tree, Depth-First Search, Breadth-First Search, Binary Tree</v>
      </c>
      <c r="G24" t="str">
        <v>moreThanSixMonths, all</v>
      </c>
    </row>
    <row r="25">
      <c r="A25">
        <v>4</v>
      </c>
      <c r="B25" t="str">
        <v>Median of Two Sorted Arrays</v>
      </c>
      <c r="C25">
        <f>HYPERLINK("https://leetcode.com/problems/median-of-two-sorted-arrays","median-of-two-sorted-arrays")</f>
      </c>
      <c r="D25">
        <v>3</v>
      </c>
      <c r="E25">
        <v>43.890991023247</v>
      </c>
      <c r="F25" t="str">
        <v>Array, Binary Search, Divide and Conquer</v>
      </c>
      <c r="G25" t="str">
        <v>moreThanSixMonths, all</v>
      </c>
    </row>
    <row r="26">
      <c r="A26">
        <v>27</v>
      </c>
      <c r="B26" t="str">
        <v>Remove Element</v>
      </c>
      <c r="C26">
        <f>HYPERLINK("https://leetcode.com/problems/remove-element","remove-element")</f>
      </c>
      <c r="D26">
        <v>1</v>
      </c>
      <c r="E26">
        <v>60.077565713758</v>
      </c>
      <c r="F26" t="str">
        <v>Array, Two Pointers</v>
      </c>
      <c r="G26" t="str">
        <v>moreThanSixMonths, all</v>
      </c>
    </row>
    <row r="27">
      <c r="A27">
        <v>42</v>
      </c>
      <c r="B27" t="str">
        <v>Trapping Rain Water</v>
      </c>
      <c r="C27">
        <f>HYPERLINK("https://leetcode.com/problems/trapping-rain-water","trapping-rain-water")</f>
      </c>
      <c r="D27">
        <v>3</v>
      </c>
      <c r="E27">
        <v>65.170057118318</v>
      </c>
      <c r="F27" t="str">
        <v>Array, Two Pointers, Dynamic Programming, Stack, Monotonic Stack</v>
      </c>
      <c r="G27" t="str">
        <v>moreThanSixMonths, all</v>
      </c>
    </row>
    <row r="28">
      <c r="A28">
        <v>35</v>
      </c>
      <c r="B28" t="str">
        <v>Search Insert Position</v>
      </c>
      <c r="C28">
        <f>HYPERLINK("https://leetcode.com/problems/search-insert-position","search-insert-position")</f>
      </c>
      <c r="D28">
        <v>1</v>
      </c>
      <c r="E28">
        <v>49.071617300105</v>
      </c>
      <c r="F28" t="str">
        <v>Array, Binary Search</v>
      </c>
      <c r="G28" t="str">
        <v>moreThanSixMonths, all</v>
      </c>
    </row>
    <row r="29">
      <c r="A29">
        <v>49</v>
      </c>
      <c r="B29" t="str">
        <v>Group Anagrams</v>
      </c>
      <c r="C29">
        <f>HYPERLINK("https://leetcode.com/problems/group-anagrams","group-anagrams")</f>
      </c>
      <c r="D29">
        <v>2</v>
      </c>
      <c r="E29">
        <v>70.971357150833</v>
      </c>
      <c r="F29" t="str">
        <v>Array, Hash Table, String, Sorting</v>
      </c>
      <c r="G29" t="str">
        <v>moreThanSixMonths, all</v>
      </c>
    </row>
    <row r="30">
      <c r="A30">
        <v>7</v>
      </c>
      <c r="B30" t="str">
        <v>Reverse Integer</v>
      </c>
      <c r="C30">
        <f>HYPERLINK("https://leetcode.com/problems/reverse-integer","reverse-integer")</f>
      </c>
      <c r="D30">
        <v>2</v>
      </c>
      <c r="E30">
        <v>30.346723457012</v>
      </c>
      <c r="F30" t="str">
        <v>Math</v>
      </c>
      <c r="G30" t="str">
        <v>moreThanSixMonths, all</v>
      </c>
    </row>
    <row r="31">
      <c r="A31">
        <v>38</v>
      </c>
      <c r="B31" t="str">
        <v>Count and Say</v>
      </c>
      <c r="C31">
        <f>HYPERLINK("https://leetcode.com/problems/count-and-say","count-and-say")</f>
      </c>
      <c r="D31">
        <v>2</v>
      </c>
      <c r="E31">
        <v>60.564169642813</v>
      </c>
      <c r="F31" t="str">
        <v>String</v>
      </c>
      <c r="G31" t="str">
        <v>moreThanSixMonths, all</v>
      </c>
    </row>
    <row r="32">
      <c r="A32">
        <v>78</v>
      </c>
      <c r="B32" t="str">
        <v>Subsets</v>
      </c>
      <c r="C32">
        <f>HYPERLINK("https://leetcode.com/problems/subsets","subsets")</f>
      </c>
      <c r="D32">
        <v>2</v>
      </c>
      <c r="E32">
        <v>80.930015063642</v>
      </c>
      <c r="F32" t="str">
        <v>Array, Backtracking, Bit Manipulation</v>
      </c>
      <c r="G32" t="str">
        <v>moreThanSixMonths, all</v>
      </c>
    </row>
    <row r="33">
      <c r="A33">
        <v>66</v>
      </c>
      <c r="B33" t="str">
        <v>Plus One</v>
      </c>
      <c r="C33">
        <f>HYPERLINK("https://leetcode.com/problems/plus-one","plus-one")</f>
      </c>
      <c r="D33">
        <v>1</v>
      </c>
      <c r="E33">
        <v>47.584085214757</v>
      </c>
      <c r="F33" t="str">
        <v>Array, Math</v>
      </c>
      <c r="G33" t="str">
        <v>moreThanSixMonths, all</v>
      </c>
    </row>
    <row r="34">
      <c r="A34">
        <v>146</v>
      </c>
      <c r="B34" t="str">
        <v>LRU Cache</v>
      </c>
      <c r="C34">
        <f>HYPERLINK("https://leetcode.com/problems/lru-cache","lru-cache")</f>
      </c>
      <c r="D34">
        <v>2</v>
      </c>
      <c r="E34">
        <v>45.274611293973</v>
      </c>
      <c r="F34" t="str">
        <v>Hash Table, Linked List, Design, Doubly-Linked List</v>
      </c>
      <c r="G34" t="str">
        <v>moreThanSixMonths, all</v>
      </c>
    </row>
    <row r="35">
      <c r="A35">
        <v>28</v>
      </c>
      <c r="B35" t="str">
        <v>Find the Index of the First Occurrence in a String</v>
      </c>
      <c r="C35">
        <f>HYPERLINK("https://leetcode.com/problems/find-the-index-of-the-first-occurrence-in-a-string","find-the-index-of-the-first-occurrence-in-a-string")</f>
      </c>
      <c r="D35">
        <v>1</v>
      </c>
      <c r="E35">
        <v>45.016135175217</v>
      </c>
      <c r="F35" t="str">
        <v>Two Pointers, String, String Matching</v>
      </c>
      <c r="G35" t="str">
        <v>moreThanSixMonths, all</v>
      </c>
    </row>
    <row r="36">
      <c r="A36">
        <v>139</v>
      </c>
      <c r="B36" t="str">
        <v>Word Break</v>
      </c>
      <c r="C36">
        <f>HYPERLINK("https://leetcode.com/problems/word-break","word-break")</f>
      </c>
      <c r="D36">
        <v>2</v>
      </c>
      <c r="E36">
        <v>48.301612951839</v>
      </c>
      <c r="F36" t="str">
        <v>Array, Hash Table, String, Dynamic Programming, Trie, Memoization</v>
      </c>
      <c r="G36" t="str">
        <v>moreThanSixMonths, all</v>
      </c>
    </row>
    <row r="37">
      <c r="A37">
        <v>53</v>
      </c>
      <c r="B37" t="str">
        <v>Maximum Subarray</v>
      </c>
      <c r="C37">
        <f>HYPERLINK("https://leetcode.com/problems/maximum-subarray","maximum-subarray")</f>
      </c>
      <c r="D37">
        <v>2</v>
      </c>
      <c r="E37">
        <v>52.128084413744</v>
      </c>
      <c r="F37" t="str">
        <v>Array, Divide and Conquer, Dynamic Programming</v>
      </c>
      <c r="G37" t="str">
        <v>moreThanSixMonths, all</v>
      </c>
    </row>
    <row r="38">
      <c r="A38">
        <v>17</v>
      </c>
      <c r="B38" t="str">
        <v>Letter Combinations of a Phone Number</v>
      </c>
      <c r="C38">
        <f>HYPERLINK("https://leetcode.com/problems/letter-combinations-of-a-phone-number","letter-combinations-of-a-phone-number")</f>
      </c>
      <c r="D38">
        <v>2</v>
      </c>
      <c r="E38">
        <v>63.92037751384</v>
      </c>
      <c r="F38" t="str">
        <v>Hash Table, String, Backtracking</v>
      </c>
      <c r="G38" t="str">
        <v>moreThanSixMonths, all</v>
      </c>
    </row>
    <row r="39">
      <c r="A39">
        <v>69</v>
      </c>
      <c r="B39" t="str">
        <v>Sqrt(x)</v>
      </c>
      <c r="C39">
        <f>HYPERLINK("https://leetcode.com/problems/sqrtx","sqrtx")</f>
      </c>
      <c r="D39">
        <v>1</v>
      </c>
      <c r="E39">
        <v>40.402684937069</v>
      </c>
      <c r="F39" t="str">
        <v>Math, Binary Search</v>
      </c>
      <c r="G39" t="str">
        <v>moreThanSixMonths, all</v>
      </c>
    </row>
    <row r="40">
      <c r="A40">
        <v>118</v>
      </c>
      <c r="B40" t="str">
        <v>Pascal's Triangle</v>
      </c>
      <c r="C40">
        <f>HYPERLINK("https://leetcode.com/problems/pascals-triangle","pascals-triangle")</f>
      </c>
      <c r="D40">
        <v>1</v>
      </c>
      <c r="E40">
        <v>77.060947260564</v>
      </c>
      <c r="F40" t="str">
        <v>Array, Dynamic Programming</v>
      </c>
      <c r="G40" t="str">
        <v>moreThanSixMonths, all</v>
      </c>
    </row>
    <row r="41">
      <c r="A41">
        <v>73</v>
      </c>
      <c r="B41" t="str">
        <v>Set Matrix Zeroes</v>
      </c>
      <c r="C41">
        <f>HYPERLINK("https://leetcode.com/problems/set-matrix-zeroes","set-matrix-zeroes")</f>
      </c>
      <c r="D41">
        <v>2</v>
      </c>
      <c r="E41">
        <v>60.7758420816</v>
      </c>
      <c r="F41" t="str">
        <v>Array, Hash Table, Matrix</v>
      </c>
      <c r="G41" t="str">
        <v>moreThanSixMonths, all</v>
      </c>
    </row>
    <row r="42">
      <c r="A42">
        <v>29</v>
      </c>
      <c r="B42" t="str">
        <v>Divide Two Integers</v>
      </c>
      <c r="C42">
        <f>HYPERLINK("https://leetcode.com/problems/divide-two-integers","divide-two-integers")</f>
      </c>
      <c r="D42">
        <v>2</v>
      </c>
      <c r="E42">
        <v>18.420983995235</v>
      </c>
      <c r="F42" t="str">
        <v>Math, Bit Manipulation</v>
      </c>
      <c r="G42" t="str">
        <v>moreThanSixMonths, all</v>
      </c>
    </row>
    <row r="43">
      <c r="A43">
        <v>34</v>
      </c>
      <c r="B43" t="str">
        <v>Find First and Last Position of Element in Sorted Array</v>
      </c>
      <c r="C43">
        <f>HYPERLINK("https://leetcode.com/problems/find-first-and-last-position-of-element-in-sorted-array","find-first-and-last-position-of-element-in-sorted-array")</f>
      </c>
      <c r="D43">
        <v>2</v>
      </c>
      <c r="E43">
        <v>46.892378830929</v>
      </c>
      <c r="F43" t="str">
        <v>Array, Binary Search</v>
      </c>
      <c r="G43" t="str">
        <v>moreThanSixMonths, all</v>
      </c>
    </row>
    <row r="44">
      <c r="A44">
        <v>84</v>
      </c>
      <c r="B44" t="str">
        <v>Largest Rectangle in Histogram</v>
      </c>
      <c r="C44">
        <f>HYPERLINK("https://leetcode.com/problems/largest-rectangle-in-histogram","largest-rectangle-in-histogram")</f>
      </c>
      <c r="D44">
        <v>3</v>
      </c>
      <c r="E44">
        <v>47.469026755735</v>
      </c>
      <c r="F44" t="str">
        <v>Array, Stack, Monotonic Stack</v>
      </c>
      <c r="G44" t="str">
        <v>moreThanSixMonths, all</v>
      </c>
    </row>
    <row r="45">
      <c r="A45">
        <v>6</v>
      </c>
      <c r="B45" t="str">
        <v>Zigzag Conversion</v>
      </c>
      <c r="C45">
        <f>HYPERLINK("https://leetcode.com/problems/zigzag-conversion","zigzag-conversion")</f>
      </c>
      <c r="D45">
        <v>2</v>
      </c>
      <c r="E45">
        <v>51.671786758943</v>
      </c>
      <c r="F45" t="str">
        <v>String</v>
      </c>
      <c r="G45" t="str">
        <v>moreThanSixMonths, all</v>
      </c>
    </row>
    <row r="46">
      <c r="A46">
        <v>102</v>
      </c>
      <c r="B46" t="str">
        <v>Binary Tree Level Order Traversal</v>
      </c>
      <c r="C46">
        <f>HYPERLINK("https://leetcode.com/problems/binary-tree-level-order-traversal","binary-tree-level-order-traversal")</f>
      </c>
      <c r="D46">
        <v>2</v>
      </c>
      <c r="E46">
        <v>70.659925870593</v>
      </c>
      <c r="F46" t="str">
        <v>Tree, Breadth-First Search, Binary Tree</v>
      </c>
      <c r="G46" t="str">
        <v>moreThanSixMonths, all</v>
      </c>
    </row>
    <row r="47">
      <c r="A47">
        <v>125</v>
      </c>
      <c r="B47" t="str">
        <v>Valid Palindrome</v>
      </c>
      <c r="C47">
        <f>HYPERLINK("https://leetcode.com/problems/valid-palindrome","valid-palindrome")</f>
      </c>
      <c r="D47">
        <v>1</v>
      </c>
      <c r="E47">
        <v>51.027966007948</v>
      </c>
      <c r="F47" t="str">
        <v>Two Pointers, String</v>
      </c>
      <c r="G47" t="str">
        <v>moreThanSixMonths, all</v>
      </c>
    </row>
    <row r="48">
      <c r="A48">
        <v>31</v>
      </c>
      <c r="B48" t="str">
        <v>Next Permutation</v>
      </c>
      <c r="C48">
        <f>HYPERLINK("https://leetcode.com/problems/next-permutation","next-permutation")</f>
      </c>
      <c r="D48">
        <v>2</v>
      </c>
      <c r="E48">
        <v>43.120068013599</v>
      </c>
      <c r="F48" t="str">
        <v>Array, Two Pointers</v>
      </c>
      <c r="G48" t="str">
        <v>moreThanSixMonths, all</v>
      </c>
    </row>
    <row r="49">
      <c r="A49">
        <v>50</v>
      </c>
      <c r="B49" t="str">
        <v>Pow(x, n)</v>
      </c>
      <c r="C49">
        <f>HYPERLINK("https://leetcode.com/problems/powx-n","powx-n")</f>
      </c>
      <c r="D49">
        <v>2</v>
      </c>
      <c r="E49">
        <v>37.066147373416</v>
      </c>
      <c r="F49" t="str">
        <v>Math, Recursion</v>
      </c>
      <c r="G49" t="str">
        <v>moreThanSixMonths, all</v>
      </c>
    </row>
    <row r="50">
      <c r="A50">
        <v>10</v>
      </c>
      <c r="B50" t="str">
        <v>Regular Expression Matching</v>
      </c>
      <c r="C50">
        <f>HYPERLINK("https://leetcode.com/problems/regular-expression-matching","regular-expression-matching")</f>
      </c>
      <c r="D50">
        <v>3</v>
      </c>
      <c r="E50">
        <v>29.312153098375</v>
      </c>
      <c r="F50" t="str">
        <v>String, Dynamic Programming, Recursion</v>
      </c>
      <c r="G50" t="str">
        <v>moreThanSixMonths, all</v>
      </c>
    </row>
    <row r="51">
      <c r="A51">
        <v>141</v>
      </c>
      <c r="B51" t="str">
        <v>Linked List Cycle</v>
      </c>
      <c r="C51">
        <f>HYPERLINK("https://leetcode.com/problems/linked-list-cycle","linked-list-cycle")</f>
      </c>
      <c r="D51">
        <v>1</v>
      </c>
      <c r="E51">
        <v>52.622133973365</v>
      </c>
      <c r="F51" t="str">
        <v>Hash Table, Linked List, Two Pointers</v>
      </c>
      <c r="G51" t="str">
        <v>moreThanSixMonths, all</v>
      </c>
    </row>
    <row r="52">
      <c r="A52">
        <v>169</v>
      </c>
      <c r="B52" t="str">
        <v>Majority Element</v>
      </c>
      <c r="C52">
        <f>HYPERLINK("https://leetcode.com/problems/majority-element","majority-element")</f>
      </c>
      <c r="D52">
        <v>1</v>
      </c>
      <c r="E52">
        <v>65.752982520733</v>
      </c>
      <c r="F52" t="str">
        <v>Array, Hash Table, Divide and Conquer, Sorting, Counting</v>
      </c>
      <c r="G52" t="str">
        <v>moreThanSixMonths</v>
      </c>
    </row>
    <row r="53">
      <c r="A53">
        <v>128</v>
      </c>
      <c r="B53" t="str">
        <v>Longest Consecutive Sequence</v>
      </c>
      <c r="C53">
        <f>HYPERLINK("https://leetcode.com/problems/longest-consecutive-sequence","longest-consecutive-sequence")</f>
      </c>
      <c r="D53">
        <v>2</v>
      </c>
      <c r="E53">
        <v>47.03381963319</v>
      </c>
      <c r="F53" t="str">
        <v>Array, Hash Table, Union Find</v>
      </c>
      <c r="G53" t="str">
        <v>moreThanSixMonths, all</v>
      </c>
    </row>
    <row r="54">
      <c r="A54">
        <v>16</v>
      </c>
      <c r="B54" t="str">
        <v>3Sum Closest</v>
      </c>
      <c r="C54">
        <f>HYPERLINK("https://leetcode.com/problems/3sum-closest","3sum-closest")</f>
      </c>
      <c r="D54">
        <v>2</v>
      </c>
      <c r="E54">
        <v>46.921906481348</v>
      </c>
      <c r="F54" t="str">
        <v>Array, Two Pointers, Sorting</v>
      </c>
      <c r="G54" t="str">
        <v>moreThanSixMonths, all</v>
      </c>
    </row>
    <row r="55">
      <c r="A55">
        <v>136</v>
      </c>
      <c r="B55" t="str">
        <v>Single Number</v>
      </c>
      <c r="C55">
        <f>HYPERLINK("https://leetcode.com/problems/single-number","single-number")</f>
      </c>
      <c r="D55">
        <v>1</v>
      </c>
      <c r="E55">
        <v>76.022158538478</v>
      </c>
      <c r="F55" t="str">
        <v>Array, Bit Manipulation</v>
      </c>
      <c r="G55" t="str">
        <v>moreThanSixMonths, all</v>
      </c>
    </row>
    <row r="56">
      <c r="A56">
        <v>58</v>
      </c>
      <c r="B56" t="str">
        <v>Length of Last Word</v>
      </c>
      <c r="C56">
        <f>HYPERLINK("https://leetcode.com/problems/length-of-last-word","length-of-last-word")</f>
      </c>
      <c r="D56">
        <v>1</v>
      </c>
      <c r="E56">
        <v>56.38069384927</v>
      </c>
      <c r="F56" t="str">
        <v>String</v>
      </c>
      <c r="G56" t="str">
        <v>moreThanSixMonths, all</v>
      </c>
    </row>
    <row r="57">
      <c r="A57">
        <v>74</v>
      </c>
      <c r="B57" t="str">
        <v>Search a 2D Matrix</v>
      </c>
      <c r="C57">
        <f>HYPERLINK("https://leetcode.com/problems/search-a-2d-matrix","search-a-2d-matrix")</f>
      </c>
      <c r="D57">
        <v>2</v>
      </c>
      <c r="E57">
        <v>52.337364801802</v>
      </c>
      <c r="F57" t="str">
        <v>Array, Binary Search, Matrix</v>
      </c>
      <c r="G57" t="str">
        <v>moreThanSixMonths, all</v>
      </c>
    </row>
    <row r="58">
      <c r="A58">
        <v>134</v>
      </c>
      <c r="B58" t="str">
        <v>Gas Station</v>
      </c>
      <c r="C58">
        <f>HYPERLINK("https://leetcode.com/problems/gas-station","gas-station")</f>
      </c>
      <c r="D58">
        <v>2</v>
      </c>
      <c r="E58">
        <v>46.421655002743</v>
      </c>
      <c r="F58" t="str">
        <v>Array, Greedy</v>
      </c>
      <c r="G58" t="str">
        <v>moreThanSixMonths, all</v>
      </c>
    </row>
    <row r="59">
      <c r="A59">
        <v>75</v>
      </c>
      <c r="B59" t="str">
        <v>Sort Colors</v>
      </c>
      <c r="C59">
        <f>HYPERLINK("https://leetcode.com/problems/sort-colors","sort-colors")</f>
      </c>
      <c r="D59">
        <v>2</v>
      </c>
      <c r="E59">
        <v>67.647706799861</v>
      </c>
      <c r="F59" t="str">
        <v>Array, Two Pointers, Sorting</v>
      </c>
      <c r="G59" t="str">
        <v>moreThanSixMonths, all</v>
      </c>
    </row>
    <row r="60">
      <c r="A60">
        <v>99</v>
      </c>
      <c r="B60" t="str">
        <v>Recover Binary Search Tree</v>
      </c>
      <c r="C60">
        <f>HYPERLINK("https://leetcode.com/problems/recover-binary-search-tree","recover-binary-search-tree")</f>
      </c>
      <c r="D60">
        <v>2</v>
      </c>
      <c r="E60">
        <v>56.420265179882</v>
      </c>
      <c r="F60" t="str">
        <v>Tree, Depth-First Search, Binary Search Tree, Binary Tree</v>
      </c>
      <c r="G60" t="str">
        <v>moreThanSixMonths, all</v>
      </c>
    </row>
    <row r="61">
      <c r="A61">
        <v>46</v>
      </c>
      <c r="B61" t="str">
        <v>Permutations</v>
      </c>
      <c r="C61">
        <f>HYPERLINK("https://leetcode.com/problems/permutations","permutations")</f>
      </c>
      <c r="D61">
        <v>2</v>
      </c>
      <c r="E61">
        <v>80.701253490844</v>
      </c>
      <c r="F61" t="str">
        <v>Array, Backtracking</v>
      </c>
      <c r="G61" t="str">
        <v>moreThanSixMonths, all</v>
      </c>
    </row>
    <row r="62">
      <c r="A62">
        <v>98</v>
      </c>
      <c r="B62" t="str">
        <v>Validate Binary Search Tree</v>
      </c>
      <c r="C62">
        <f>HYPERLINK("https://leetcode.com/problems/validate-binary-search-tree","validate-binary-search-tree")</f>
      </c>
      <c r="D62">
        <v>2</v>
      </c>
      <c r="E62">
        <v>34.415106458903</v>
      </c>
      <c r="F62" t="str">
        <v>Tree, Depth-First Search, Binary Search Tree, Binary Tree</v>
      </c>
      <c r="G62" t="str">
        <v>moreThanSixMonths, all</v>
      </c>
    </row>
    <row r="63">
      <c r="A63">
        <v>33</v>
      </c>
      <c r="B63" t="str">
        <v>Search in Rotated Sorted Array</v>
      </c>
      <c r="C63">
        <f>HYPERLINK("https://leetcode.com/problems/search-in-rotated-sorted-array","search-in-rotated-sorted-array")</f>
      </c>
      <c r="D63">
        <v>2</v>
      </c>
      <c r="E63">
        <v>42.888360741278</v>
      </c>
      <c r="F63" t="str">
        <v>Array, Binary Search</v>
      </c>
      <c r="G63" t="str">
        <v>moreThanSixMonths, all</v>
      </c>
    </row>
    <row r="64">
      <c r="A64">
        <v>12</v>
      </c>
      <c r="B64" t="str">
        <v>Integer to Roman</v>
      </c>
      <c r="C64">
        <f>HYPERLINK("https://leetcode.com/problems/integer-to-roman","integer-to-roman")</f>
      </c>
      <c r="D64">
        <v>2</v>
      </c>
      <c r="E64">
        <v>68.691615088197</v>
      </c>
      <c r="F64" t="str">
        <v>Hash Table, Math, String</v>
      </c>
      <c r="G64" t="str">
        <v>moreThanSixMonths, all</v>
      </c>
    </row>
    <row r="65">
      <c r="A65">
        <v>18</v>
      </c>
      <c r="B65" t="str">
        <v>4Sum</v>
      </c>
      <c r="C65">
        <f>HYPERLINK("https://leetcode.com/problems/4sum","4sum")</f>
      </c>
      <c r="D65">
        <v>2</v>
      </c>
      <c r="E65">
        <v>38.283054940984</v>
      </c>
      <c r="F65" t="str">
        <v>Array, Two Pointers, Sorting</v>
      </c>
      <c r="G65" t="str">
        <v>moreThanSixMonths, all</v>
      </c>
    </row>
    <row r="66">
      <c r="A66">
        <v>19</v>
      </c>
      <c r="B66" t="str">
        <v>Remove Nth Node From End of List</v>
      </c>
      <c r="C66">
        <f>HYPERLINK("https://leetcode.com/problems/remove-nth-node-from-end-of-list","remove-nth-node-from-end-of-list")</f>
      </c>
      <c r="D66">
        <v>2</v>
      </c>
      <c r="E66">
        <v>49.046842269416</v>
      </c>
      <c r="F66" t="str">
        <v>Linked List, Two Pointers</v>
      </c>
      <c r="G66" t="str">
        <v>moreThanSixMonths, all</v>
      </c>
    </row>
    <row r="67">
      <c r="A67">
        <v>101</v>
      </c>
      <c r="B67" t="str">
        <v>Symmetric Tree</v>
      </c>
      <c r="C67">
        <f>HYPERLINK("https://leetcode.com/problems/symmetric-tree","symmetric-tree")</f>
      </c>
      <c r="D67">
        <v>1</v>
      </c>
      <c r="E67">
        <v>59.33083335342</v>
      </c>
      <c r="F67" t="str">
        <v>Tree, Depth-First Search, Breadth-First Search, Binary Tree</v>
      </c>
      <c r="G67" t="str">
        <v>moreThanSixMonths, all</v>
      </c>
    </row>
    <row r="68">
      <c r="A68">
        <v>122</v>
      </c>
      <c r="B68" t="str">
        <v>Best Time to Buy and Sell Stock II</v>
      </c>
      <c r="C68">
        <f>HYPERLINK("https://leetcode.com/problems/best-time-to-buy-and-sell-stock-ii","best-time-to-buy-and-sell-stock-ii")</f>
      </c>
      <c r="D68">
        <v>2</v>
      </c>
      <c r="E68">
        <v>69.551901010396</v>
      </c>
      <c r="F68" t="str">
        <v>Array, Dynamic Programming, Greedy</v>
      </c>
      <c r="G68" t="str">
        <v>moreThanSixMonths, all</v>
      </c>
    </row>
    <row r="69">
      <c r="A69">
        <v>152</v>
      </c>
      <c r="B69" t="str">
        <v>Maximum Product Subarray</v>
      </c>
      <c r="C69">
        <f>HYPERLINK("https://leetcode.com/problems/maximum-product-subarray","maximum-product-subarray")</f>
      </c>
      <c r="D69">
        <v>2</v>
      </c>
      <c r="E69">
        <v>34.975084444915</v>
      </c>
      <c r="F69" t="str">
        <v>Array, Dynamic Programming</v>
      </c>
      <c r="G69" t="str">
        <v>moreThanSixMonths, all</v>
      </c>
    </row>
    <row r="70">
      <c r="A70">
        <v>8</v>
      </c>
      <c r="B70" t="str">
        <v>String to Integer (atoi)</v>
      </c>
      <c r="C70">
        <f>HYPERLINK("https://leetcode.com/problems/string-to-integer-atoi","string-to-integer-atoi")</f>
      </c>
      <c r="D70">
        <v>2</v>
      </c>
      <c r="E70">
        <v>19.275387343041</v>
      </c>
      <c r="F70" t="str">
        <v>String</v>
      </c>
      <c r="G70" t="str">
        <v>moreThanSixMonths, all</v>
      </c>
    </row>
    <row r="71">
      <c r="A71">
        <v>80</v>
      </c>
      <c r="B71" t="str">
        <v>Remove Duplicates from Sorted Array II</v>
      </c>
      <c r="C71">
        <f>HYPERLINK("https://leetcode.com/problems/remove-duplicates-from-sorted-array-ii","remove-duplicates-from-sorted-array-ii")</f>
      </c>
      <c r="D71">
        <v>2</v>
      </c>
      <c r="E71">
        <v>62.953007851586</v>
      </c>
      <c r="F71" t="str">
        <v>Array, Two Pointers</v>
      </c>
      <c r="G71" t="str">
        <v>moreThanSixMonths, all</v>
      </c>
    </row>
    <row r="72">
      <c r="A72">
        <v>36</v>
      </c>
      <c r="B72" t="str">
        <v>Valid Sudoku</v>
      </c>
      <c r="C72">
        <f>HYPERLINK("https://leetcode.com/problems/valid-sudoku","valid-sudoku")</f>
      </c>
      <c r="D72">
        <v>2</v>
      </c>
      <c r="E72">
        <v>62.32415019864</v>
      </c>
      <c r="F72" t="str">
        <v>Array, Hash Table, Matrix</v>
      </c>
      <c r="G72" t="str">
        <v>moreThanSixMonths, all</v>
      </c>
    </row>
    <row r="73">
      <c r="A73">
        <v>37</v>
      </c>
      <c r="B73" t="str">
        <v>Sudoku Solver</v>
      </c>
      <c r="C73">
        <f>HYPERLINK("https://leetcode.com/problems/sudoku-solver","sudoku-solver")</f>
      </c>
      <c r="D73">
        <v>3</v>
      </c>
      <c r="E73">
        <v>63.952460874298</v>
      </c>
      <c r="F73" t="str">
        <v>Array, Hash Table, Backtracking, Matrix</v>
      </c>
      <c r="G73" t="str">
        <v>moreThanSixMonths, all</v>
      </c>
    </row>
    <row r="74">
      <c r="A74">
        <v>144</v>
      </c>
      <c r="B74" t="str">
        <v>Binary Tree Preorder Traversal</v>
      </c>
      <c r="C74">
        <f>HYPERLINK("https://leetcode.com/problems/binary-tree-preorder-traversal","binary-tree-preorder-traversal")</f>
      </c>
      <c r="D74">
        <v>1</v>
      </c>
      <c r="E74">
        <v>73.317863121307</v>
      </c>
      <c r="F74" t="str">
        <v>Stack, Tree, Depth-First Search, Binary Tree</v>
      </c>
      <c r="G74" t="str">
        <v>moreThanSixMonths, all</v>
      </c>
    </row>
    <row r="75">
      <c r="A75">
        <v>62</v>
      </c>
      <c r="B75" t="str">
        <v>Unique Paths</v>
      </c>
      <c r="C75">
        <f>HYPERLINK("https://leetcode.com/problems/unique-paths","unique-paths")</f>
      </c>
      <c r="D75">
        <v>2</v>
      </c>
      <c r="E75">
        <v>65.805281323095</v>
      </c>
      <c r="F75" t="str">
        <v>Math, Dynamic Programming, Combinatorics</v>
      </c>
      <c r="G75" t="str">
        <v>moreThanSixMonths, all</v>
      </c>
    </row>
    <row r="76">
      <c r="A76">
        <v>179</v>
      </c>
      <c r="B76" t="str">
        <v>Largest Number</v>
      </c>
      <c r="C76">
        <f>HYPERLINK("https://leetcode.com/problems/largest-number","largest-number")</f>
      </c>
      <c r="D76">
        <v>2</v>
      </c>
      <c r="E76">
        <v>41.31733865223</v>
      </c>
      <c r="F76" t="str">
        <v>Array, String, Greedy, Sorting</v>
      </c>
      <c r="G76" t="str">
        <v>moreThanSixMonths</v>
      </c>
    </row>
    <row r="77">
      <c r="A77">
        <v>137</v>
      </c>
      <c r="B77" t="str">
        <v>Single Number II</v>
      </c>
      <c r="C77">
        <f>HYPERLINK("https://leetcode.com/problems/single-number-ii","single-number-ii")</f>
      </c>
      <c r="D77">
        <v>2</v>
      </c>
      <c r="E77">
        <v>65.287237638993</v>
      </c>
      <c r="F77" t="str">
        <v>Array, Bit Manipulation</v>
      </c>
      <c r="G77" t="str">
        <v>moreThanSixMonths, all</v>
      </c>
    </row>
    <row r="78">
      <c r="A78">
        <v>131</v>
      </c>
      <c r="B78" t="str">
        <v>Palindrome Partitioning</v>
      </c>
      <c r="C78">
        <f>HYPERLINK("https://leetcode.com/problems/palindrome-partitioning","palindrome-partitioning")</f>
      </c>
      <c r="D78">
        <v>2</v>
      </c>
      <c r="E78">
        <v>72.199017926565</v>
      </c>
      <c r="F78" t="str">
        <v>String, Dynamic Programming, Backtracking</v>
      </c>
      <c r="G78" t="str">
        <v>moreThanSixMonths, all</v>
      </c>
    </row>
    <row r="79">
      <c r="A79">
        <v>57</v>
      </c>
      <c r="B79" t="str">
        <v>Insert Interval</v>
      </c>
      <c r="C79">
        <f>HYPERLINK("https://leetcode.com/problems/insert-interval","insert-interval")</f>
      </c>
      <c r="D79">
        <v>2</v>
      </c>
      <c r="E79">
        <v>43.52383880757</v>
      </c>
      <c r="F79" t="str">
        <v>Array</v>
      </c>
      <c r="G79" t="str">
        <v>moreThanSixMonths, all</v>
      </c>
    </row>
    <row r="80">
      <c r="A80">
        <v>76</v>
      </c>
      <c r="B80" t="str">
        <v>Minimum Window Substring</v>
      </c>
      <c r="C80">
        <f>HYPERLINK("https://leetcode.com/problems/minimum-window-substring","minimum-window-substring")</f>
      </c>
      <c r="D80">
        <v>3</v>
      </c>
      <c r="E80">
        <v>45.411902832889</v>
      </c>
      <c r="F80" t="str">
        <v>Hash Table, String, Sliding Window</v>
      </c>
      <c r="G80" t="str">
        <v>moreThanSixMonths, all</v>
      </c>
    </row>
    <row r="81">
      <c r="A81">
        <v>138</v>
      </c>
      <c r="B81" t="str">
        <v>Copy List with Random Pointer</v>
      </c>
      <c r="C81">
        <f>HYPERLINK("https://leetcode.com/problems/copy-list-with-random-pointer","copy-list-with-random-pointer")</f>
      </c>
      <c r="D81">
        <v>2</v>
      </c>
      <c r="E81">
        <v>60.611518650319</v>
      </c>
      <c r="F81" t="str">
        <v>Hash Table, Linked List</v>
      </c>
      <c r="G81" t="str">
        <v>moreThanSixMonths, all</v>
      </c>
    </row>
    <row r="82">
      <c r="A82">
        <v>153</v>
      </c>
      <c r="B82" t="str">
        <v>Find Minimum in Rotated Sorted Array</v>
      </c>
      <c r="C82">
        <f>HYPERLINK("https://leetcode.com/problems/find-minimum-in-rotated-sorted-array","find-minimum-in-rotated-sorted-array")</f>
      </c>
      <c r="D82">
        <v>2</v>
      </c>
      <c r="E82">
        <v>52.691300732785</v>
      </c>
      <c r="F82" t="str">
        <v>Array, Binary Search</v>
      </c>
      <c r="G82" t="str">
        <v>moreThanSixMonths, all</v>
      </c>
    </row>
    <row r="83">
      <c r="A83">
        <v>148</v>
      </c>
      <c r="B83" t="str">
        <v>Sort List</v>
      </c>
      <c r="C83">
        <f>HYPERLINK("https://leetcode.com/problems/sort-list","sort-list")</f>
      </c>
      <c r="D83">
        <v>2</v>
      </c>
      <c r="E83">
        <v>61.894875980281</v>
      </c>
      <c r="F83" t="str">
        <v>Linked List, Two Pointers, Divide and Conquer, Sorting, Merge Sort</v>
      </c>
      <c r="G83" t="str">
        <v>moreThanSixMonths, all</v>
      </c>
    </row>
    <row r="84">
      <c r="A84">
        <v>143</v>
      </c>
      <c r="B84" t="str">
        <v>Reorder List</v>
      </c>
      <c r="C84">
        <f>HYPERLINK("https://leetcode.com/problems/reorder-list","reorder-list")</f>
      </c>
      <c r="D84">
        <v>2</v>
      </c>
      <c r="E84">
        <v>62.58957605573</v>
      </c>
      <c r="F84" t="str">
        <v>Linked List, Two Pointers, Stack, Recursion</v>
      </c>
      <c r="G84" t="str">
        <v>moreThanSixMonths, all</v>
      </c>
    </row>
    <row r="85">
      <c r="A85">
        <v>127</v>
      </c>
      <c r="B85" t="str">
        <v>Word Ladder</v>
      </c>
      <c r="C85">
        <f>HYPERLINK("https://leetcode.com/problems/word-ladder","word-ladder")</f>
      </c>
      <c r="D85">
        <v>3</v>
      </c>
      <c r="E85">
        <v>42.899962252027</v>
      </c>
      <c r="F85" t="str">
        <v>Hash Table, String, Breadth-First Search</v>
      </c>
      <c r="G85" t="str">
        <v>moreThanSixMonths, all</v>
      </c>
    </row>
    <row r="86">
      <c r="A86">
        <v>71</v>
      </c>
      <c r="B86" t="str">
        <v>Simplify Path</v>
      </c>
      <c r="C86">
        <f>HYPERLINK("https://leetcode.com/problems/simplify-path","simplify-path")</f>
      </c>
      <c r="D86">
        <v>2</v>
      </c>
      <c r="E86">
        <v>47.948208491206</v>
      </c>
      <c r="F86" t="str">
        <v>String, Stack</v>
      </c>
      <c r="G86" t="str">
        <v>moreThanSixMonths, all</v>
      </c>
    </row>
    <row r="87">
      <c r="A87">
        <v>119</v>
      </c>
      <c r="B87" t="str">
        <v>Pascal's Triangle II</v>
      </c>
      <c r="C87">
        <f>HYPERLINK("https://leetcode.com/problems/pascals-triangle-ii","pascals-triangle-ii")</f>
      </c>
      <c r="D87">
        <v>1</v>
      </c>
      <c r="E87">
        <v>65.987728827198</v>
      </c>
      <c r="F87" t="str">
        <v>Array, Dynamic Programming</v>
      </c>
      <c r="G87" t="str">
        <v>moreThanSixMonths, all</v>
      </c>
    </row>
    <row r="88">
      <c r="A88">
        <v>114</v>
      </c>
      <c r="B88" t="str">
        <v>Flatten Binary Tree to Linked List</v>
      </c>
      <c r="C88">
        <f>HYPERLINK("https://leetcode.com/problems/flatten-binary-tree-to-linked-list","flatten-binary-tree-to-linked-list")</f>
      </c>
      <c r="D88">
        <v>2</v>
      </c>
      <c r="E88">
        <v>68.587362289766</v>
      </c>
      <c r="F88" t="str">
        <v>Linked List, Stack, Tree, Depth-First Search, Binary Tree</v>
      </c>
      <c r="G88" t="str">
        <v>moreThanSixMonths, all</v>
      </c>
    </row>
    <row r="89">
      <c r="A89">
        <v>105</v>
      </c>
      <c r="B89" t="str">
        <v>Construct Binary Tree from Preorder and Inorder Traversal</v>
      </c>
      <c r="C89">
        <f>HYPERLINK("https://leetcode.com/problems/construct-binary-tree-from-preorder-and-inorder-traversal","construct-binary-tree-from-preorder-and-inorder-traversal")</f>
      </c>
      <c r="D89">
        <v>2</v>
      </c>
      <c r="E89">
        <v>66.899674549611</v>
      </c>
      <c r="F89" t="str">
        <v>Array, Hash Table, Divide and Conquer, Tree, Binary Tree</v>
      </c>
      <c r="G89" t="str">
        <v>moreThanSixMonths, all</v>
      </c>
    </row>
    <row r="90">
      <c r="A90">
        <v>100</v>
      </c>
      <c r="B90" t="str">
        <v>Same Tree</v>
      </c>
      <c r="C90">
        <f>HYPERLINK("https://leetcode.com/problems/same-tree","same-tree")</f>
      </c>
      <c r="D90">
        <v>1</v>
      </c>
      <c r="E90">
        <v>65.193278071829</v>
      </c>
      <c r="F90" t="str">
        <v>Tree, Depth-First Search, Breadth-First Search, Binary Tree</v>
      </c>
      <c r="G90" t="str">
        <v>moreThanSixMonths, all</v>
      </c>
    </row>
    <row r="91">
      <c r="A91">
        <v>96</v>
      </c>
      <c r="B91" t="str">
        <v>Unique Binary Search Trees</v>
      </c>
      <c r="C91">
        <f>HYPERLINK("https://leetcode.com/problems/unique-binary-search-trees","unique-binary-search-trees")</f>
      </c>
      <c r="D91">
        <v>2</v>
      </c>
      <c r="E91">
        <v>62.478786705305</v>
      </c>
      <c r="F91" t="str">
        <v>Math, Dynamic Programming, Tree, Binary Search Tree, Binary Tree</v>
      </c>
      <c r="G91" t="str">
        <v>moreThanSixMonths, all</v>
      </c>
    </row>
    <row r="92">
      <c r="A92">
        <v>92</v>
      </c>
      <c r="B92" t="str">
        <v>Reverse Linked List II</v>
      </c>
      <c r="C92">
        <f>HYPERLINK("https://leetcode.com/problems/reverse-linked-list-ii","reverse-linked-list-ii")</f>
      </c>
      <c r="D92">
        <v>2</v>
      </c>
      <c r="E92">
        <v>49.64182879901</v>
      </c>
      <c r="F92" t="str">
        <v>Linked List</v>
      </c>
      <c r="G92" t="str">
        <v>moreThanSixMonths, all</v>
      </c>
    </row>
    <row r="93">
      <c r="A93">
        <v>64</v>
      </c>
      <c r="B93" t="str">
        <v>Minimum Path Sum</v>
      </c>
      <c r="C93">
        <f>HYPERLINK("https://leetcode.com/problems/minimum-path-sum","minimum-path-sum")</f>
      </c>
      <c r="D93">
        <v>2</v>
      </c>
      <c r="E93">
        <v>66.53919131344</v>
      </c>
      <c r="F93" t="str">
        <v>Array, Dynamic Programming, Matrix</v>
      </c>
      <c r="G93" t="str">
        <v>moreThanSixMonths, all</v>
      </c>
    </row>
    <row r="94">
      <c r="A94">
        <v>63</v>
      </c>
      <c r="B94" t="str">
        <v>Unique Paths II</v>
      </c>
      <c r="C94">
        <f>HYPERLINK("https://leetcode.com/problems/unique-paths-ii","unique-paths-ii")</f>
      </c>
      <c r="D94">
        <v>2</v>
      </c>
      <c r="E94">
        <v>43.195997939021</v>
      </c>
      <c r="F94" t="str">
        <v>Array, Dynamic Programming, Matrix</v>
      </c>
      <c r="G94" t="str">
        <v>moreThanSixMonths, all</v>
      </c>
    </row>
    <row r="95">
      <c r="A95">
        <v>51</v>
      </c>
      <c r="B95" t="str">
        <v>N-Queens</v>
      </c>
      <c r="C95">
        <f>HYPERLINK("https://leetcode.com/problems/n-queens","n-queens")</f>
      </c>
      <c r="D95">
        <v>3</v>
      </c>
      <c r="E95">
        <v>72.913906227551</v>
      </c>
      <c r="F95" t="str">
        <v>Array, Backtracking</v>
      </c>
      <c r="G95" t="str">
        <v>moreThanSixMonths, all</v>
      </c>
    </row>
    <row r="96">
      <c r="A96">
        <v>32</v>
      </c>
      <c r="B96" t="str">
        <v>Longest Valid Parentheses</v>
      </c>
      <c r="C96">
        <f>HYPERLINK("https://leetcode.com/problems/longest-valid-parentheses","longest-valid-parentheses")</f>
      </c>
      <c r="D96">
        <v>3</v>
      </c>
      <c r="E96">
        <v>36.376097468602</v>
      </c>
      <c r="F96" t="str">
        <v>String, Dynamic Programming, Stack</v>
      </c>
      <c r="G96" t="str">
        <v>moreThanSixMonths, all</v>
      </c>
    </row>
    <row r="97">
      <c r="A97">
        <v>25</v>
      </c>
      <c r="B97" t="str">
        <v>Reverse Nodes in k-Group</v>
      </c>
      <c r="C97">
        <f>HYPERLINK("https://leetcode.com/problems/reverse-nodes-in-k-group","reverse-nodes-in-k-group")</f>
      </c>
      <c r="D97">
        <v>3</v>
      </c>
      <c r="E97">
        <v>63.129898904708</v>
      </c>
      <c r="F97" t="str">
        <v>Linked List, Recursion</v>
      </c>
      <c r="G97" t="str">
        <v>moreThanSixMonths, all</v>
      </c>
    </row>
    <row r="98">
      <c r="A98">
        <v>23</v>
      </c>
      <c r="B98" t="str">
        <v>Merge k Sorted Lists</v>
      </c>
      <c r="C98">
        <f>HYPERLINK("https://leetcode.com/problems/merge-k-sorted-lists","merge-k-sorted-lists")</f>
      </c>
      <c r="D98">
        <v>3</v>
      </c>
      <c r="E98">
        <v>56.853140540924</v>
      </c>
      <c r="F98" t="str">
        <v>Linked List, Divide and Conquer, Heap (Priority Queue), Merge Sort</v>
      </c>
      <c r="G98" t="str">
        <v>moreThanSixMonths, all</v>
      </c>
    </row>
    <row r="99">
      <c r="A99">
        <v>61</v>
      </c>
      <c r="B99" t="str">
        <v>Rotate List</v>
      </c>
      <c r="C99">
        <f>HYPERLINK("https://leetcode.com/problems/rotate-list","rotate-list")</f>
      </c>
      <c r="D99">
        <v>2</v>
      </c>
      <c r="E99">
        <v>39.994416367115</v>
      </c>
      <c r="F99" t="str">
        <v>Linked List, Two Pointers</v>
      </c>
      <c r="G99" t="str">
        <v>moreThanSixMonths, all</v>
      </c>
    </row>
    <row r="100">
      <c r="A100">
        <v>181</v>
      </c>
      <c r="B100" t="str">
        <v>Employees Earning More Than Their Managers</v>
      </c>
      <c r="C100">
        <f>HYPERLINK("https://leetcode.com/problems/employees-earning-more-than-their-managers","employees-earning-more-than-their-managers")</f>
      </c>
      <c r="D100">
        <v>1</v>
      </c>
      <c r="E100">
        <v>71.559401530528</v>
      </c>
      <c r="F100" t="str">
        <v>Database</v>
      </c>
      <c r="G100" t="str">
        <v>moreThanSixMonths</v>
      </c>
    </row>
    <row r="101">
      <c r="A101">
        <v>155</v>
      </c>
      <c r="B101" t="str">
        <v>Min Stack</v>
      </c>
      <c r="C101">
        <f>HYPERLINK("https://leetcode.com/problems/min-stack","min-stack")</f>
      </c>
      <c r="D101">
        <v>2</v>
      </c>
      <c r="E101">
        <v>56.498788886851</v>
      </c>
      <c r="F101" t="str">
        <v>Stack, Design</v>
      </c>
      <c r="G101" t="str">
        <v>moreThanSixMonths</v>
      </c>
    </row>
    <row r="102">
      <c r="A102">
        <v>178</v>
      </c>
      <c r="B102" t="str">
        <v>Rank Scores</v>
      </c>
      <c r="C102">
        <f>HYPERLINK("https://leetcode.com/problems/rank-scores","rank-scores")</f>
      </c>
      <c r="D102">
        <v>2</v>
      </c>
      <c r="E102">
        <v>65.362082169709</v>
      </c>
      <c r="F102" t="str">
        <v>Database</v>
      </c>
      <c r="G102" t="str">
        <v>moreThanSixMonths</v>
      </c>
    </row>
    <row r="103">
      <c r="A103">
        <v>133</v>
      </c>
      <c r="B103" t="str">
        <v>Clone Graph</v>
      </c>
      <c r="C103">
        <f>HYPERLINK("https://leetcode.com/problems/clone-graph","clone-graph")</f>
      </c>
      <c r="D103">
        <v>2</v>
      </c>
      <c r="E103">
        <v>62.484400732992</v>
      </c>
      <c r="F103" t="str">
        <v>Hash Table, Depth-First Search, Breadth-First Search, Graph</v>
      </c>
      <c r="G103" t="str">
        <v>all</v>
      </c>
    </row>
    <row r="104">
      <c r="A104">
        <v>81</v>
      </c>
      <c r="B104" t="str">
        <v>Search in Rotated Sorted Array II</v>
      </c>
      <c r="C104">
        <f>HYPERLINK("https://leetcode.com/problems/search-in-rotated-sorted-array-ii","search-in-rotated-sorted-array-ii")</f>
      </c>
      <c r="D104">
        <v>2</v>
      </c>
      <c r="E104">
        <v>38.908871182242</v>
      </c>
      <c r="F104" t="str">
        <v>Array, Binary Search</v>
      </c>
      <c r="G104" t="str">
        <v>all</v>
      </c>
    </row>
    <row r="105">
      <c r="A105">
        <v>72</v>
      </c>
      <c r="B105" t="str">
        <v>Edit Distance</v>
      </c>
      <c r="C105">
        <f>HYPERLINK("https://leetcode.com/problems/edit-distance","edit-distance")</f>
      </c>
      <c r="D105">
        <v>2</v>
      </c>
      <c r="E105">
        <v>58.843312909001</v>
      </c>
      <c r="F105" t="str">
        <v>String, Dynamic Programming</v>
      </c>
      <c r="G105" t="str">
        <v>all</v>
      </c>
    </row>
    <row r="106">
      <c r="A106">
        <v>97</v>
      </c>
      <c r="B106" t="str">
        <v>Interleaving String</v>
      </c>
      <c r="C106">
        <f>HYPERLINK("https://leetcode.com/problems/interleaving-string","interleaving-string")</f>
      </c>
      <c r="D106">
        <v>2</v>
      </c>
      <c r="E106">
        <v>42.217974422907</v>
      </c>
      <c r="F106" t="str">
        <v>String, Dynamic Programming</v>
      </c>
      <c r="G106" t="str">
        <v>all</v>
      </c>
    </row>
    <row r="107">
      <c r="A107">
        <v>85</v>
      </c>
      <c r="B107" t="str">
        <v>Maximal Rectangle</v>
      </c>
      <c r="C107">
        <f>HYPERLINK("https://leetcode.com/problems/maximal-rectangle","maximal-rectangle")</f>
      </c>
      <c r="D107">
        <v>3</v>
      </c>
      <c r="E107">
        <v>53.822356980425</v>
      </c>
      <c r="F107" t="str">
        <v>Array, Dynamic Programming, Stack, Matrix, Monotonic Stack</v>
      </c>
      <c r="G107" t="str">
        <v>all</v>
      </c>
    </row>
  </sheetData>
  <mergeCells count="1">
    <mergeCell ref="A1:G1"/>
  </mergeCells>
  <ignoredErrors>
    <ignoredError numberStoredAsText="1" sqref="A1:G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
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Datadog</v>
      </c>
    </row>
    <row r="2">
      <c r="A2">
        <v>322</v>
      </c>
      <c r="B2" t="str">
        <v>Coin Change</v>
      </c>
      <c r="C2">
        <f>HYPERLINK("https://leetcode.com/problems/coin-change","coin-change")</f>
      </c>
      <c r="D2">
        <v>2</v>
      </c>
      <c r="E2">
        <v>46.554601334862</v>
      </c>
      <c r="F2" t="str">
        <v>Array, Dynamic Programming, Breadth-First Search</v>
      </c>
      <c r="G2" t="str">
        <v>threeMonths, sixMonths, moreThanSixMonths, all</v>
      </c>
    </row>
    <row r="3">
      <c r="A3">
        <v>408</v>
      </c>
      <c r="B3" t="str">
        <v>Valid Word Abbreviation</v>
      </c>
      <c r="C3">
        <f>HYPERLINK("https://code.nextleet.com/problem/binary-tree-upside-down","valid-word-abbreviation")</f>
      </c>
      <c r="D3">
        <v>1</v>
      </c>
      <c r="E3">
        <v>36.865922374269</v>
      </c>
      <c r="F3" t="str">
        <v>Two Pointers, String</v>
      </c>
      <c r="G3" t="str">
        <v>threeMonths, sixMonths, moreThanSixMonths, all</v>
      </c>
    </row>
    <row r="4">
      <c r="A4">
        <v>622</v>
      </c>
      <c r="B4" t="str">
        <v>Design Circular Queue</v>
      </c>
      <c r="C4">
        <f>HYPERLINK("https://leetcode.com/problems/design-circular-queue","design-circular-queue")</f>
      </c>
      <c r="D4">
        <v>2</v>
      </c>
      <c r="E4">
        <v>52.69382868826</v>
      </c>
      <c r="F4" t="str">
        <v>Array, Linked List, Design, Queue</v>
      </c>
      <c r="G4" t="str">
        <v>threeMonths, sixMonths, moreThanSixMonths, all</v>
      </c>
    </row>
    <row r="5">
      <c r="A5">
        <v>559</v>
      </c>
      <c r="B5" t="str">
        <v>Maximum Depth of N-ary Tree</v>
      </c>
      <c r="C5">
        <f>HYPERLINK("https://leetcode.com/problems/maximum-depth-of-n-ary-tree","maximum-depth-of-n-ary-tree")</f>
      </c>
      <c r="D5">
        <v>1</v>
      </c>
      <c r="E5">
        <v>72.960095161146</v>
      </c>
      <c r="F5" t="str">
        <v>Tree, Depth-First Search, Breadth-First Search</v>
      </c>
      <c r="G5" t="str">
        <v>sixMonths, moreThanSixMonths, all</v>
      </c>
    </row>
    <row r="6">
      <c r="A6">
        <v>819</v>
      </c>
      <c r="B6" t="str">
        <v>Most Common Word</v>
      </c>
      <c r="C6">
        <f>HYPERLINK("https://leetcode.com/problems/most-common-word","most-common-word")</f>
      </c>
      <c r="D6">
        <v>1</v>
      </c>
      <c r="E6">
        <v>44.583467297322</v>
      </c>
      <c r="F6" t="str">
        <v>Array, Hash Table, String, Counting</v>
      </c>
      <c r="G6" t="str">
        <v>sixMonths, moreThanSixMonths, all</v>
      </c>
    </row>
    <row r="7">
      <c r="A7">
        <v>1452</v>
      </c>
      <c r="B7" t="str">
        <v>People Whose List of Favorite Companies Is Not a Subset of Another List</v>
      </c>
      <c r="C7">
        <f>HYPERLINK("https://leetcode.com/problems/people-whose-list-of-favorite-companies-is-not-a-subset-of-another-list","people-whose-list-of-favorite-companies-is-not-a-subset-of-another-list")</f>
      </c>
      <c r="D7">
        <v>2</v>
      </c>
      <c r="E7">
        <v>59.441381009228</v>
      </c>
      <c r="F7" t="str">
        <v>Array, Hash Table, String</v>
      </c>
      <c r="G7" t="str">
        <v>sixMonths, moreThanSixMonths, all</v>
      </c>
    </row>
    <row r="8">
      <c r="A8">
        <v>568</v>
      </c>
      <c r="B8" t="str">
        <v>Maximum Vacation Days</v>
      </c>
      <c r="C8">
        <f>HYPERLINK("https://code.nextleet.com/problem/binary-tree-upside-down","maximum-vacation-days")</f>
      </c>
      <c r="D8">
        <v>3</v>
      </c>
      <c r="E8">
        <v>46.394499751981</v>
      </c>
      <c r="F8" t="str">
        <v>Array, Dynamic Programming, Matrix</v>
      </c>
      <c r="G8" t="str">
        <v>sixMonths, moreThanSixMonths, all</v>
      </c>
    </row>
    <row r="9">
      <c r="A9">
        <v>198</v>
      </c>
      <c r="B9" t="str">
        <v>House Robber</v>
      </c>
      <c r="C9">
        <f>HYPERLINK("https://leetcode.com/problems/house-robber","house-robber")</f>
      </c>
      <c r="D9">
        <v>2</v>
      </c>
      <c r="E9">
        <v>52.328756966937</v>
      </c>
      <c r="F9" t="str">
        <v>Array, Dynamic Programming</v>
      </c>
      <c r="G9" t="str">
        <v>sixMonths, all</v>
      </c>
    </row>
    <row r="10">
      <c r="A10">
        <v>213</v>
      </c>
      <c r="B10" t="str">
        <v>House Robber II</v>
      </c>
      <c r="C10">
        <f>HYPERLINK("https://leetcode.com/problems/house-robber-ii","house-robber-ii")</f>
      </c>
      <c r="D10">
        <v>2</v>
      </c>
      <c r="E10">
        <v>43.609412252514</v>
      </c>
      <c r="F10" t="str">
        <v>Array, Dynamic Programming</v>
      </c>
      <c r="G10" t="str">
        <v>sixMonths, all</v>
      </c>
    </row>
    <row r="11">
      <c r="A11">
        <v>1229</v>
      </c>
      <c r="B11" t="str">
        <v>Meeting Scheduler</v>
      </c>
      <c r="C11">
        <f>HYPERLINK("https://code.nextleet.com/problem/binary-tree-upside-down","meeting-scheduler")</f>
      </c>
      <c r="D11">
        <v>2</v>
      </c>
      <c r="E11">
        <v>55.202120609675</v>
      </c>
      <c r="F11" t="str">
        <v>Array, Two Pointers, Sorting</v>
      </c>
      <c r="G11" t="str">
        <v>moreThanSixMonths, all</v>
      </c>
    </row>
    <row r="12">
      <c r="A12">
        <v>480</v>
      </c>
      <c r="B12" t="str">
        <v>Sliding Window Median</v>
      </c>
      <c r="C12">
        <f>HYPERLINK("https://leetcode.com/problems/sliding-window-median","sliding-window-median")</f>
      </c>
      <c r="D12">
        <v>3</v>
      </c>
      <c r="E12">
        <v>38.704660757726</v>
      </c>
      <c r="F12" t="str">
        <v>Array, Hash Table, Sliding Window, Heap (Priority Queue)</v>
      </c>
      <c r="G12" t="str">
        <v>moreThanSixMonths, all</v>
      </c>
    </row>
    <row r="13">
      <c r="A13">
        <v>124</v>
      </c>
      <c r="B13" t="str">
        <v>Binary Tree Maximum Path Sum</v>
      </c>
      <c r="C13">
        <f>HYPERLINK("https://leetcode.com/problems/binary-tree-maximum-path-sum","binary-tree-maximum-path-sum")</f>
      </c>
      <c r="D13">
        <v>3</v>
      </c>
      <c r="E13">
        <v>41.250896611284</v>
      </c>
      <c r="F13" t="str">
        <v>Dynamic Programming, Tree, Depth-First Search, Binary Tree</v>
      </c>
      <c r="G13" t="str">
        <v>moreThanSixMonths, all</v>
      </c>
    </row>
    <row r="14">
      <c r="A14">
        <v>211</v>
      </c>
      <c r="B14" t="str">
        <v>Design Add and Search Words Data Structure</v>
      </c>
      <c r="C14">
        <f>HYPERLINK("https://leetcode.com/problems/design-add-and-search-words-data-structure","design-add-and-search-words-data-structure")</f>
      </c>
      <c r="D14">
        <v>2</v>
      </c>
      <c r="E14">
        <v>47.107495853803</v>
      </c>
      <c r="F14" t="str">
        <v>String, Depth-First Search, Design, Trie</v>
      </c>
      <c r="G14" t="str">
        <v>moreThanSixMonths, all</v>
      </c>
    </row>
    <row r="15">
      <c r="A15">
        <v>1232</v>
      </c>
      <c r="B15" t="str">
        <v>Check If It Is a Straight Line</v>
      </c>
      <c r="C15">
        <f>HYPERLINK("https://leetcode.com/problems/check-if-it-is-a-straight-line","check-if-it-is-a-straight-line")</f>
      </c>
      <c r="D15">
        <v>1</v>
      </c>
      <c r="E15">
        <v>39.711007307462</v>
      </c>
      <c r="F15" t="str">
        <v>Array, Math, Geometry</v>
      </c>
      <c r="G15" t="str">
        <v>moreThanSixMonths, all</v>
      </c>
    </row>
    <row r="16">
      <c r="A16">
        <v>1207</v>
      </c>
      <c r="B16" t="str">
        <v>Unique Number of Occurrences</v>
      </c>
      <c r="C16">
        <f>HYPERLINK("https://leetcode.com/problems/unique-number-of-occurrences","unique-number-of-occurrences")</f>
      </c>
      <c r="D16">
        <v>1</v>
      </c>
      <c r="E16">
        <v>78.291453791579</v>
      </c>
      <c r="F16" t="str">
        <v>Array, Hash Table</v>
      </c>
      <c r="G16" t="str">
        <v>moreThanSixMonths, all</v>
      </c>
    </row>
    <row r="17">
      <c r="A17">
        <v>1038</v>
      </c>
      <c r="B17" t="str">
        <v>Binary Search Tree to Greater Sum Tree</v>
      </c>
      <c r="C17">
        <f>HYPERLINK("https://leetcode.com/problems/binary-search-tree-to-greater-sum-tree","binary-search-tree-to-greater-sum-tree")</f>
      </c>
      <c r="D17">
        <v>2</v>
      </c>
      <c r="E17">
        <v>88.278427027599</v>
      </c>
      <c r="F17" t="str">
        <v>Tree, Depth-First Search, Binary Search Tree, Binary Tree</v>
      </c>
      <c r="G17" t="str">
        <v>moreThanSixMonths, all</v>
      </c>
    </row>
    <row r="18">
      <c r="A18">
        <v>2451</v>
      </c>
      <c r="B18" t="str">
        <v>Odd String Difference</v>
      </c>
      <c r="C18">
        <f>HYPERLINK("https://leetcode.com/problems/odd-string-difference","odd-string-difference")</f>
      </c>
      <c r="D18">
        <v>1</v>
      </c>
      <c r="E18">
        <v>61.063759393758</v>
      </c>
      <c r="F18" t="str">
        <v>Array, Hash Table, String</v>
      </c>
      <c r="G18" t="str">
        <v>moreThanSixMonths, all</v>
      </c>
    </row>
    <row r="19">
      <c r="A19">
        <v>1160</v>
      </c>
      <c r="B19" t="str">
        <v>Find Words That Can Be Formed by Characters</v>
      </c>
      <c r="C19">
        <f>HYPERLINK("https://leetcode.com/problems/find-words-that-can-be-formed-by-characters","find-words-that-can-be-formed-by-characters")</f>
      </c>
      <c r="D19">
        <v>1</v>
      </c>
      <c r="E19">
        <v>71.083097201514</v>
      </c>
      <c r="F19" t="str">
        <v>Array, Hash Table, String, Counting</v>
      </c>
      <c r="G19" t="str">
        <v>moreThanSixMonths, all</v>
      </c>
    </row>
    <row r="20">
      <c r="A20">
        <v>1071</v>
      </c>
      <c r="B20" t="str">
        <v>Greatest Common Divisor of Strings</v>
      </c>
      <c r="C20">
        <f>HYPERLINK("https://leetcode.com/problems/greatest-common-divisor-of-strings","greatest-common-divisor-of-strings")</f>
      </c>
      <c r="D20">
        <v>1</v>
      </c>
      <c r="E20">
        <v>52.74332656248</v>
      </c>
      <c r="F20" t="str">
        <v>Math, String</v>
      </c>
      <c r="G20" t="str">
        <v>moreThanSixMonths, all</v>
      </c>
    </row>
    <row r="21">
      <c r="A21">
        <v>112</v>
      </c>
      <c r="B21" t="str">
        <v>Path Sum</v>
      </c>
      <c r="C21">
        <f>HYPERLINK("https://leetcode.com/problems/path-sum","path-sum")</f>
      </c>
      <c r="D21">
        <v>1</v>
      </c>
      <c r="E21">
        <v>53.062883401087</v>
      </c>
      <c r="F21" t="str">
        <v>Tree, Depth-First Search, Breadth-First Search, Binary Tree</v>
      </c>
      <c r="G21" t="str">
        <v>all</v>
      </c>
    </row>
  </sheetData>
  <mergeCells count="1">
    <mergeCell ref="A1:G1"/>
  </mergeCells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